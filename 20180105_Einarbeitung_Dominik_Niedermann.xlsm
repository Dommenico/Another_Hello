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niedom\Desktop\"/>
    </mc:Choice>
  </mc:AlternateContent>
  <bookViews>
    <workbookView xWindow="120" yWindow="36" windowWidth="22920" windowHeight="9648"/>
  </bookViews>
  <sheets>
    <sheet name="Prod_Planung" sheetId="1" r:id="rId1"/>
    <sheet name="Aenderungen" sheetId="2" r:id="rId2"/>
  </sheets>
  <definedNames>
    <definedName name="_xlnm._FilterDatabase" localSheetId="0" hidden="1">Prod_Planung!$A$10:$E$183</definedName>
    <definedName name="_xlnm.Print_Area" localSheetId="0">Prod_Planung!$A$6:$BG$161</definedName>
    <definedName name="_xlnm.Print_Titles" localSheetId="0">Prod_Planung!$A:$F,Prod_Planung!$6:$10</definedName>
  </definedNames>
  <calcPr calcId="152511" calcMode="manual"/>
</workbook>
</file>

<file path=xl/calcChain.xml><?xml version="1.0" encoding="utf-8"?>
<calcChain xmlns="http://schemas.openxmlformats.org/spreadsheetml/2006/main">
  <c r="G9" i="1" l="1"/>
  <c r="H9" i="1" l="1"/>
  <c r="I8" i="1"/>
  <c r="I9" i="1" l="1"/>
  <c r="J9" i="1" s="1"/>
  <c r="K9" i="1" s="1"/>
  <c r="H8" i="1"/>
  <c r="H7" i="1"/>
  <c r="G8" i="1"/>
  <c r="G7" i="1"/>
  <c r="J8" i="1"/>
  <c r="I7" i="1" l="1"/>
  <c r="J7" i="1"/>
  <c r="L9" i="1"/>
  <c r="K7" i="1"/>
  <c r="K8" i="1"/>
  <c r="L8" i="1" l="1"/>
  <c r="L7" i="1"/>
  <c r="M9" i="1"/>
  <c r="N9" i="1" l="1"/>
  <c r="M8" i="1"/>
  <c r="M7" i="1" l="1"/>
  <c r="O9" i="1"/>
  <c r="N8" i="1"/>
  <c r="N7" i="1" l="1"/>
  <c r="P9" i="1"/>
  <c r="O8" i="1"/>
  <c r="O7" i="1" l="1"/>
  <c r="P8" i="1"/>
  <c r="Q9" i="1"/>
  <c r="P7" i="1"/>
  <c r="R9" i="1" l="1"/>
  <c r="Q8" i="1"/>
  <c r="S9" i="1" l="1"/>
  <c r="R8" i="1"/>
  <c r="R7" i="1"/>
  <c r="Q7" i="1"/>
  <c r="T9" i="1" l="1"/>
  <c r="S8" i="1"/>
  <c r="S7" i="1" l="1"/>
  <c r="T8" i="1"/>
  <c r="U9" i="1"/>
  <c r="V9" i="1" l="1"/>
  <c r="U8" i="1"/>
  <c r="T7" i="1"/>
  <c r="W9" i="1" l="1"/>
  <c r="V8" i="1"/>
  <c r="U7" i="1"/>
  <c r="V7" i="1" l="1"/>
  <c r="W8" i="1"/>
  <c r="X9" i="1"/>
  <c r="W7" i="1" l="1"/>
  <c r="Y9" i="1"/>
  <c r="X8" i="1"/>
  <c r="X7" i="1" l="1"/>
  <c r="Z9" i="1"/>
  <c r="Y8" i="1"/>
  <c r="Y7" i="1" l="1"/>
  <c r="AA9" i="1"/>
  <c r="Z8" i="1"/>
  <c r="AB9" i="1" l="1"/>
  <c r="AA8" i="1"/>
  <c r="Z7" i="1"/>
  <c r="AA7" i="1" l="1"/>
  <c r="AC9" i="1"/>
  <c r="AB8" i="1"/>
  <c r="AB7" i="1" l="1"/>
  <c r="AD9" i="1"/>
  <c r="AC7" i="1"/>
  <c r="AC8" i="1"/>
  <c r="AE9" i="1" l="1"/>
  <c r="AD7" i="1"/>
  <c r="AD8" i="1"/>
  <c r="AF9" i="1" l="1"/>
  <c r="AE8" i="1"/>
  <c r="AG9" i="1" l="1"/>
  <c r="AF8" i="1"/>
  <c r="AE7" i="1"/>
  <c r="AF7" i="1" l="1"/>
  <c r="AG8" i="1"/>
  <c r="AH9" i="1"/>
  <c r="AI9" i="1" l="1"/>
  <c r="AH8" i="1"/>
  <c r="AG7" i="1"/>
  <c r="AH7" i="1" l="1"/>
  <c r="AJ9" i="1"/>
  <c r="AI8" i="1"/>
  <c r="AK9" i="1" l="1"/>
  <c r="AJ8" i="1"/>
  <c r="AI7" i="1"/>
  <c r="AJ7" i="1" l="1"/>
  <c r="AK7" i="1"/>
  <c r="AL9" i="1"/>
  <c r="AK8" i="1"/>
  <c r="AL7" i="1" l="1"/>
  <c r="AM9" i="1"/>
  <c r="AL8" i="1"/>
  <c r="AN9" i="1" l="1"/>
  <c r="AM8" i="1"/>
  <c r="AM7" i="1" l="1"/>
  <c r="AO9" i="1"/>
  <c r="AN8" i="1"/>
  <c r="AP9" i="1" l="1"/>
  <c r="AO8" i="1"/>
  <c r="AN7" i="1"/>
  <c r="AQ9" i="1" l="1"/>
  <c r="AP7" i="1"/>
  <c r="AP8" i="1"/>
  <c r="AO7" i="1"/>
  <c r="AR9" i="1" l="1"/>
  <c r="AQ8" i="1"/>
  <c r="AQ7" i="1" l="1"/>
  <c r="AR8" i="1"/>
  <c r="AR7" i="1"/>
  <c r="AS9" i="1"/>
  <c r="AT9" i="1" l="1"/>
  <c r="AS8" i="1"/>
  <c r="AS7" i="1" l="1"/>
  <c r="AU9" i="1"/>
  <c r="AT7" i="1"/>
  <c r="AT8" i="1"/>
  <c r="AV9" i="1" l="1"/>
  <c r="AU8" i="1"/>
  <c r="AU7" i="1" l="1"/>
  <c r="AV8" i="1"/>
  <c r="AW9" i="1"/>
  <c r="AV7" i="1"/>
  <c r="AX9" i="1" l="1"/>
  <c r="AW8" i="1"/>
  <c r="AW7" i="1" l="1"/>
  <c r="AY9" i="1"/>
  <c r="AX8" i="1"/>
  <c r="AX7" i="1" l="1"/>
  <c r="AZ9" i="1"/>
  <c r="AY8" i="1"/>
  <c r="BA9" i="1" l="1"/>
  <c r="AZ8" i="1"/>
  <c r="AY7" i="1"/>
  <c r="AZ7" i="1" l="1"/>
  <c r="BA8" i="1"/>
  <c r="BB9" i="1"/>
  <c r="BC9" i="1" l="1"/>
  <c r="BB7" i="1"/>
  <c r="BB8" i="1"/>
  <c r="BA7" i="1"/>
  <c r="BD9" i="1" l="1"/>
  <c r="BC8" i="1"/>
  <c r="BC7" i="1"/>
  <c r="BE9" i="1" l="1"/>
  <c r="BD8" i="1"/>
  <c r="BF9" i="1" l="1"/>
  <c r="BE8" i="1"/>
  <c r="BD7" i="1"/>
  <c r="BE7" i="1" l="1"/>
  <c r="BF7" i="1"/>
  <c r="BF8" i="1"/>
  <c r="BG9" i="1"/>
  <c r="BH9" i="1" l="1"/>
  <c r="BG8" i="1"/>
  <c r="BG7" i="1" l="1"/>
  <c r="BI9" i="1"/>
  <c r="BH8" i="1"/>
  <c r="BJ9" i="1" l="1"/>
  <c r="BI8" i="1"/>
  <c r="BH7" i="1"/>
  <c r="BI7" i="1" l="1"/>
  <c r="BK9" i="1"/>
  <c r="BJ8" i="1"/>
  <c r="BJ7" i="1" l="1"/>
  <c r="BL9" i="1"/>
  <c r="BK8" i="1"/>
  <c r="BM9" i="1" l="1"/>
  <c r="BL8" i="1"/>
  <c r="BL7" i="1"/>
  <c r="BK7" i="1"/>
  <c r="BM7" i="1" l="1"/>
  <c r="BN9" i="1"/>
  <c r="BM8" i="1"/>
  <c r="BO9" i="1" l="1"/>
  <c r="BN8" i="1"/>
  <c r="BP9" i="1" l="1"/>
  <c r="BO8" i="1"/>
  <c r="BN7" i="1"/>
  <c r="BO7" i="1" l="1"/>
  <c r="BP8" i="1"/>
  <c r="BQ9" i="1"/>
  <c r="BQ7" i="1" l="1"/>
  <c r="BR9" i="1"/>
  <c r="BQ8" i="1"/>
  <c r="BP7" i="1"/>
  <c r="BS9" i="1" l="1"/>
  <c r="BR8" i="1"/>
  <c r="BR7" i="1"/>
  <c r="BT9" i="1" l="1"/>
  <c r="BS8" i="1"/>
  <c r="BS7" i="1" l="1"/>
  <c r="BU9" i="1"/>
  <c r="BT8" i="1"/>
  <c r="BT7" i="1" l="1"/>
  <c r="BV9" i="1"/>
  <c r="BU8" i="1"/>
  <c r="BW9" i="1" l="1"/>
  <c r="BV8" i="1"/>
  <c r="BU7" i="1"/>
  <c r="BV7" i="1" l="1"/>
  <c r="BX9" i="1"/>
  <c r="BW8" i="1"/>
  <c r="BW7" i="1" l="1"/>
  <c r="BX8" i="1"/>
  <c r="BY9" i="1"/>
  <c r="BX7" i="1" l="1"/>
  <c r="BZ9" i="1"/>
  <c r="BY7" i="1"/>
  <c r="BY8" i="1"/>
  <c r="CA9" i="1" l="1"/>
  <c r="BZ8" i="1"/>
  <c r="BZ7" i="1" l="1"/>
  <c r="CB9" i="1"/>
  <c r="CA7" i="1"/>
  <c r="CA8" i="1"/>
  <c r="CC9" i="1" l="1"/>
  <c r="CB8" i="1"/>
  <c r="CB7" i="1" l="1"/>
  <c r="CC8" i="1"/>
  <c r="CD9" i="1"/>
  <c r="CC7" i="1" l="1"/>
  <c r="CE9" i="1"/>
  <c r="CD8" i="1"/>
  <c r="CD7" i="1" l="1"/>
  <c r="CF9" i="1"/>
  <c r="CE8" i="1"/>
  <c r="CG9" i="1" l="1"/>
  <c r="CF8" i="1"/>
  <c r="CE7" i="1"/>
  <c r="CF7" i="1" l="1"/>
  <c r="CH9" i="1"/>
  <c r="CG8" i="1"/>
  <c r="CI9" i="1" l="1"/>
  <c r="CH8" i="1"/>
  <c r="CG7" i="1"/>
  <c r="CH7" i="1" l="1"/>
  <c r="CJ9" i="1"/>
  <c r="CI8" i="1"/>
  <c r="CI7" i="1" l="1"/>
  <c r="CK9" i="1"/>
  <c r="CJ8" i="1"/>
  <c r="CJ7" i="1"/>
  <c r="CL9" i="1" l="1"/>
  <c r="CK8" i="1"/>
  <c r="CK7" i="1" l="1"/>
  <c r="CM9" i="1"/>
  <c r="CL8" i="1"/>
  <c r="CN9" i="1" l="1"/>
  <c r="CM8" i="1"/>
  <c r="CL7" i="1"/>
  <c r="CM7" i="1" l="1"/>
  <c r="CO9" i="1"/>
  <c r="CN8" i="1"/>
  <c r="CN7" i="1"/>
  <c r="CP9" i="1" l="1"/>
  <c r="CO8" i="1"/>
  <c r="CO7" i="1" l="1"/>
  <c r="CQ9" i="1"/>
  <c r="CP7" i="1"/>
  <c r="CP8" i="1"/>
  <c r="CR9" i="1" l="1"/>
  <c r="CQ8" i="1"/>
  <c r="CQ7" i="1" l="1"/>
  <c r="CR8" i="1"/>
  <c r="CR7" i="1"/>
  <c r="CS9" i="1"/>
  <c r="CS7" i="1" l="1"/>
  <c r="CT9" i="1"/>
  <c r="CS8" i="1"/>
  <c r="CU9" i="1" l="1"/>
  <c r="CT8" i="1"/>
  <c r="CV9" i="1" l="1"/>
  <c r="CU7" i="1"/>
  <c r="CU8" i="1"/>
  <c r="CT7" i="1"/>
  <c r="CW9" i="1" l="1"/>
  <c r="CV8" i="1"/>
  <c r="CV7" i="1" l="1"/>
  <c r="CW7" i="1"/>
  <c r="CW8" i="1"/>
  <c r="CX9" i="1"/>
  <c r="CY9" i="1" l="1"/>
  <c r="CX8" i="1"/>
  <c r="CX7" i="1" l="1"/>
  <c r="CZ9" i="1"/>
  <c r="CY8" i="1"/>
  <c r="CY7" i="1"/>
  <c r="DA9" i="1" l="1"/>
  <c r="CZ8" i="1"/>
  <c r="CZ7" i="1"/>
  <c r="DB9" i="1" l="1"/>
  <c r="DA8" i="1"/>
  <c r="DC9" i="1" l="1"/>
  <c r="DB8" i="1"/>
  <c r="DA7" i="1"/>
  <c r="DB7" i="1" l="1"/>
  <c r="DD9" i="1"/>
  <c r="DC8" i="1"/>
  <c r="DE9" i="1" l="1"/>
  <c r="DD8" i="1"/>
  <c r="DD7" i="1"/>
  <c r="DC7" i="1"/>
  <c r="DF9" i="1" l="1"/>
  <c r="DE8" i="1"/>
  <c r="DE7" i="1" l="1"/>
  <c r="DG9" i="1"/>
  <c r="DF8" i="1"/>
  <c r="DH9" i="1" l="1"/>
  <c r="DG8" i="1"/>
  <c r="DF7" i="1"/>
  <c r="DG7" i="1" l="1"/>
  <c r="DI9" i="1"/>
  <c r="DH8" i="1"/>
  <c r="DH7" i="1" l="1"/>
  <c r="DJ9" i="1"/>
  <c r="DI8" i="1"/>
  <c r="DK9" i="1" l="1"/>
  <c r="DJ8" i="1"/>
  <c r="DI7" i="1"/>
  <c r="DJ7" i="1" l="1"/>
  <c r="DL9" i="1"/>
  <c r="DK8" i="1"/>
  <c r="DL8" i="1" l="1"/>
  <c r="DM9" i="1"/>
  <c r="DK7" i="1"/>
  <c r="DL7" i="1" l="1"/>
  <c r="DN9" i="1"/>
  <c r="DM8" i="1"/>
  <c r="DM7" i="1" l="1"/>
  <c r="DO9" i="1"/>
  <c r="DN8" i="1"/>
  <c r="DP9" i="1" l="1"/>
  <c r="DO8" i="1"/>
  <c r="DN7" i="1"/>
  <c r="DO7" i="1" l="1"/>
  <c r="DQ9" i="1"/>
  <c r="DP8" i="1"/>
  <c r="DR9" i="1" l="1"/>
  <c r="DQ8" i="1"/>
  <c r="DP7" i="1"/>
  <c r="DQ7" i="1" l="1"/>
  <c r="DS9" i="1"/>
  <c r="DR8" i="1"/>
  <c r="DT9" i="1" l="1"/>
  <c r="DS8" i="1"/>
  <c r="DR7" i="1"/>
  <c r="DS7" i="1" l="1"/>
  <c r="DT8" i="1"/>
  <c r="DU9" i="1"/>
  <c r="DV9" i="1" l="1"/>
  <c r="DU8" i="1"/>
  <c r="DT7" i="1"/>
  <c r="DU7" i="1" l="1"/>
  <c r="DW9" i="1"/>
  <c r="DV8" i="1"/>
  <c r="DX9" i="1" l="1"/>
  <c r="DW8" i="1"/>
  <c r="DV7" i="1"/>
  <c r="DW7" i="1" l="1"/>
  <c r="DY9" i="1"/>
  <c r="DX8" i="1"/>
  <c r="DY7" i="1" l="1"/>
  <c r="DZ9" i="1"/>
  <c r="DY8" i="1"/>
  <c r="DX7" i="1"/>
  <c r="EA9" i="1" l="1"/>
  <c r="DZ8" i="1"/>
  <c r="EB9" i="1" l="1"/>
  <c r="EA8" i="1"/>
  <c r="DZ7" i="1"/>
  <c r="EA7" i="1" l="1"/>
  <c r="EC9" i="1"/>
  <c r="EB7" i="1"/>
  <c r="EB8" i="1"/>
  <c r="EC8" i="1" l="1"/>
  <c r="ED9" i="1"/>
  <c r="EE9" i="1" l="1"/>
  <c r="ED8" i="1"/>
  <c r="EC7" i="1"/>
  <c r="ED7" i="1" l="1"/>
  <c r="EF9" i="1"/>
  <c r="EE8" i="1"/>
  <c r="EE7" i="1" l="1"/>
  <c r="EG9" i="1"/>
  <c r="EF8" i="1"/>
  <c r="EF7" i="1" l="1"/>
  <c r="EH9" i="1"/>
  <c r="EG8" i="1"/>
  <c r="EG7" i="1" l="1"/>
  <c r="EI9" i="1"/>
  <c r="EH8" i="1"/>
  <c r="EH7" i="1" l="1"/>
  <c r="EJ9" i="1"/>
  <c r="EI8" i="1"/>
  <c r="EK9" i="1" l="1"/>
  <c r="EJ8" i="1"/>
  <c r="EJ7" i="1"/>
  <c r="EI7" i="1"/>
  <c r="EL9" i="1" l="1"/>
  <c r="EK8" i="1"/>
  <c r="EM9" i="1" l="1"/>
  <c r="EL8" i="1"/>
  <c r="EK7" i="1"/>
  <c r="EL7" i="1" l="1"/>
  <c r="EN9" i="1"/>
  <c r="EM8" i="1"/>
  <c r="EM7" i="1" l="1"/>
  <c r="EN8" i="1"/>
  <c r="EO9" i="1"/>
  <c r="EN7" i="1" l="1"/>
  <c r="EP9" i="1"/>
  <c r="EO8" i="1"/>
  <c r="EQ9" i="1" l="1"/>
  <c r="EP8" i="1"/>
  <c r="EO7" i="1"/>
  <c r="EP7" i="1" l="1"/>
  <c r="ER9" i="1"/>
  <c r="EQ7" i="1"/>
  <c r="EQ8" i="1"/>
  <c r="ER8" i="1" l="1"/>
  <c r="ES9" i="1"/>
  <c r="ET9" i="1" l="1"/>
  <c r="ES8" i="1"/>
  <c r="ER7" i="1"/>
  <c r="ES7" i="1" l="1"/>
  <c r="EU9" i="1"/>
  <c r="ET8" i="1"/>
  <c r="ET7" i="1"/>
  <c r="EV9" i="1" l="1"/>
  <c r="EU8" i="1"/>
  <c r="EU7" i="1" l="1"/>
  <c r="EW9" i="1"/>
  <c r="EV8" i="1"/>
  <c r="EV7" i="1"/>
  <c r="EX9" i="1" l="1"/>
  <c r="EW8" i="1"/>
  <c r="EY9" i="1" l="1"/>
  <c r="EX8" i="1"/>
  <c r="EW7" i="1"/>
  <c r="EX7" i="1" l="1"/>
  <c r="EZ9" i="1"/>
  <c r="EY8" i="1"/>
  <c r="FA9" i="1" l="1"/>
  <c r="EZ8" i="1"/>
  <c r="EY7" i="1"/>
  <c r="EZ7" i="1" l="1"/>
  <c r="FB9" i="1"/>
  <c r="FA8" i="1"/>
  <c r="FC9" i="1" l="1"/>
  <c r="FB8" i="1"/>
  <c r="FA7" i="1"/>
  <c r="FD9" i="1" l="1"/>
  <c r="FC8" i="1"/>
  <c r="FB7" i="1"/>
  <c r="FC7" i="1" l="1"/>
  <c r="FE9" i="1"/>
  <c r="FD8" i="1"/>
  <c r="FD7" i="1" l="1"/>
  <c r="FF9" i="1"/>
  <c r="FE8" i="1"/>
  <c r="FE7" i="1" l="1"/>
  <c r="FG9" i="1"/>
  <c r="FF8" i="1"/>
  <c r="FH9" i="1" l="1"/>
  <c r="FG8" i="1"/>
  <c r="FF7" i="1"/>
  <c r="FG7" i="1" l="1"/>
  <c r="FI9" i="1"/>
  <c r="FH7" i="1"/>
  <c r="FH8" i="1"/>
  <c r="FI7" i="1" l="1"/>
  <c r="FJ9" i="1"/>
  <c r="FI8" i="1"/>
  <c r="FJ7" i="1" l="1"/>
  <c r="FK9" i="1"/>
  <c r="FJ8" i="1"/>
  <c r="FL9" i="1" l="1"/>
  <c r="FK8" i="1"/>
  <c r="FK7" i="1" l="1"/>
  <c r="FM9" i="1"/>
  <c r="FL8" i="1"/>
  <c r="FL7" i="1"/>
  <c r="FN9" i="1" l="1"/>
  <c r="FM8" i="1"/>
  <c r="FO9" i="1" l="1"/>
  <c r="FN7" i="1"/>
  <c r="FN8" i="1"/>
  <c r="FM7" i="1"/>
  <c r="FP9" i="1" l="1"/>
  <c r="FO7" i="1"/>
  <c r="FO8" i="1"/>
  <c r="FP8" i="1" l="1"/>
  <c r="FQ9" i="1"/>
  <c r="FR9" i="1" l="1"/>
  <c r="FQ8" i="1"/>
  <c r="FP7" i="1"/>
  <c r="FQ7" i="1" l="1"/>
  <c r="FS9" i="1"/>
  <c r="FR8" i="1"/>
  <c r="FR7" i="1" l="1"/>
  <c r="FT9" i="1"/>
  <c r="FS7" i="1"/>
  <c r="FS8" i="1"/>
  <c r="FT8" i="1" l="1"/>
  <c r="FT7" i="1"/>
  <c r="FU9" i="1"/>
  <c r="FV9" i="1" l="1"/>
  <c r="FU7" i="1"/>
  <c r="FU8" i="1"/>
  <c r="FW9" i="1" l="1"/>
  <c r="FV8" i="1"/>
  <c r="FV7" i="1"/>
  <c r="FX9" i="1" l="1"/>
  <c r="FW8" i="1"/>
  <c r="FW7" i="1" l="1"/>
  <c r="FY9" i="1"/>
  <c r="FX8" i="1"/>
  <c r="FX7" i="1" l="1"/>
  <c r="FZ9" i="1"/>
  <c r="FY8" i="1"/>
  <c r="FY7" i="1" l="1"/>
  <c r="GA9" i="1"/>
  <c r="FZ7" i="1"/>
  <c r="FZ8" i="1"/>
  <c r="GB9" i="1" l="1"/>
  <c r="GA8" i="1"/>
  <c r="GA7" i="1"/>
  <c r="GC9" i="1" l="1"/>
  <c r="GB8" i="1"/>
  <c r="GD9" i="1" l="1"/>
  <c r="GC8" i="1"/>
  <c r="GB7" i="1"/>
  <c r="GC7" i="1" l="1"/>
  <c r="GD7" i="1"/>
  <c r="GD8" i="1"/>
  <c r="GE9" i="1"/>
  <c r="GF9" i="1" l="1"/>
  <c r="GE8" i="1"/>
  <c r="GE7" i="1" l="1"/>
  <c r="GG9" i="1"/>
  <c r="GF8" i="1"/>
  <c r="GF7" i="1"/>
  <c r="GH9" i="1" l="1"/>
  <c r="GG8" i="1"/>
  <c r="GG7" i="1" l="1"/>
  <c r="GI9" i="1"/>
  <c r="GH7" i="1"/>
  <c r="GH8" i="1"/>
  <c r="GJ9" i="1" l="1"/>
  <c r="GI8" i="1"/>
  <c r="GI7" i="1" l="1"/>
  <c r="GK9" i="1"/>
  <c r="GJ8" i="1"/>
  <c r="GJ7" i="1"/>
  <c r="GL9" i="1" l="1"/>
  <c r="GK8" i="1"/>
  <c r="GM9" i="1" l="1"/>
  <c r="GL8" i="1"/>
  <c r="GK7" i="1"/>
  <c r="GL7" i="1" l="1"/>
  <c r="GN9" i="1"/>
  <c r="GM8" i="1"/>
  <c r="GN8" i="1" l="1"/>
  <c r="GO9" i="1"/>
  <c r="GM7" i="1"/>
  <c r="GP9" i="1" l="1"/>
  <c r="GO8" i="1"/>
  <c r="GN7" i="1"/>
  <c r="GQ9" i="1" l="1"/>
  <c r="GP7" i="1"/>
  <c r="GP8" i="1"/>
  <c r="GO7" i="1"/>
  <c r="GR9" i="1" l="1"/>
  <c r="GQ8" i="1"/>
  <c r="GQ7" i="1" l="1"/>
  <c r="GS9" i="1"/>
  <c r="GR8" i="1"/>
  <c r="GR7" i="1"/>
  <c r="GT9" i="1" l="1"/>
  <c r="GS8" i="1"/>
  <c r="GU9" i="1" l="1"/>
  <c r="GT8" i="1"/>
  <c r="GS7" i="1"/>
  <c r="GT7" i="1" l="1"/>
  <c r="GV9" i="1"/>
  <c r="GU8" i="1"/>
  <c r="GV8" i="1" l="1"/>
  <c r="GV7" i="1"/>
  <c r="GW9" i="1"/>
  <c r="GU7" i="1"/>
  <c r="GX9" i="1" l="1"/>
  <c r="GW8" i="1"/>
  <c r="GW7" i="1" l="1"/>
  <c r="GY9" i="1"/>
  <c r="GX7" i="1"/>
  <c r="GX8" i="1"/>
  <c r="GZ9" i="1" l="1"/>
  <c r="GY8" i="1"/>
  <c r="GY7" i="1" l="1"/>
  <c r="HA9" i="1"/>
  <c r="GZ8" i="1"/>
  <c r="GZ7" i="1"/>
  <c r="HA8" i="1" l="1"/>
  <c r="HB9" i="1"/>
  <c r="HC9" i="1" l="1"/>
  <c r="HB8" i="1"/>
  <c r="HA7" i="1"/>
  <c r="HB7" i="1" l="1"/>
  <c r="HD9" i="1"/>
  <c r="HC7" i="1"/>
  <c r="HC8" i="1"/>
  <c r="HE9" i="1" l="1"/>
  <c r="HD8" i="1"/>
  <c r="HD7" i="1" l="1"/>
  <c r="HF9" i="1"/>
  <c r="HE8" i="1"/>
  <c r="HG9" i="1" l="1"/>
  <c r="HF8" i="1"/>
  <c r="HE7" i="1"/>
  <c r="HF7" i="1" l="1"/>
  <c r="HH9" i="1"/>
  <c r="HG7" i="1"/>
  <c r="HG8" i="1"/>
  <c r="HI9" i="1" l="1"/>
  <c r="HH8" i="1"/>
  <c r="HH7" i="1"/>
  <c r="HJ9" i="1" l="1"/>
  <c r="HI8" i="1"/>
  <c r="HK9" i="1" l="1"/>
  <c r="HJ8" i="1"/>
  <c r="HI7" i="1"/>
  <c r="HL9" i="1" l="1"/>
  <c r="HK7" i="1"/>
  <c r="HK8" i="1"/>
  <c r="HJ7" i="1"/>
  <c r="HM9" i="1" l="1"/>
  <c r="HL8" i="1"/>
  <c r="HL7" i="1"/>
  <c r="HN9" i="1" l="1"/>
  <c r="HM8" i="1"/>
  <c r="HM7" i="1" l="1"/>
  <c r="HO9" i="1"/>
  <c r="HN7" i="1"/>
  <c r="HN8" i="1"/>
  <c r="HP9" i="1" l="1"/>
  <c r="HO8" i="1"/>
  <c r="HO7" i="1" l="1"/>
  <c r="HP8" i="1"/>
  <c r="HQ9" i="1"/>
  <c r="HR9" i="1" l="1"/>
  <c r="HQ8" i="1"/>
  <c r="HP7" i="1"/>
  <c r="HS9" i="1" l="1"/>
  <c r="HR8" i="1"/>
  <c r="HQ7" i="1"/>
  <c r="HR7" i="1" l="1"/>
  <c r="HT9" i="1"/>
  <c r="HS7" i="1"/>
  <c r="HS8" i="1"/>
  <c r="HU9" i="1" l="1"/>
  <c r="HT8" i="1"/>
  <c r="HT7" i="1" l="1"/>
  <c r="HU8" i="1"/>
  <c r="HV9" i="1"/>
  <c r="HU7" i="1" l="1"/>
  <c r="HW9" i="1"/>
  <c r="HV8" i="1"/>
  <c r="HV7" i="1" l="1"/>
  <c r="HX9" i="1"/>
  <c r="HW8" i="1"/>
  <c r="HW7" i="1" l="1"/>
  <c r="HY9" i="1"/>
  <c r="HX8" i="1"/>
  <c r="HX7" i="1"/>
  <c r="HY8" i="1" l="1"/>
  <c r="HZ9" i="1"/>
  <c r="IA9" i="1" l="1"/>
  <c r="HZ8" i="1"/>
  <c r="HY7" i="1"/>
  <c r="HZ7" i="1" l="1"/>
  <c r="IB9" i="1"/>
  <c r="IA7" i="1"/>
  <c r="IA8" i="1"/>
  <c r="IC9" i="1" l="1"/>
  <c r="IB8" i="1"/>
  <c r="IB7" i="1" l="1"/>
  <c r="ID9" i="1"/>
  <c r="IC8" i="1"/>
  <c r="IE9" i="1" l="1"/>
  <c r="ID8" i="1"/>
  <c r="IC7" i="1"/>
  <c r="ID7" i="1" l="1"/>
  <c r="IF9" i="1"/>
  <c r="IE7" i="1"/>
  <c r="IE8" i="1"/>
  <c r="IG9" i="1" l="1"/>
  <c r="IF8" i="1"/>
  <c r="IF7" i="1"/>
  <c r="IH9" i="1" l="1"/>
  <c r="IG8" i="1"/>
  <c r="IG7" i="1" l="1"/>
  <c r="II9" i="1"/>
  <c r="IH8" i="1"/>
  <c r="IH7" i="1" l="1"/>
  <c r="IJ9" i="1"/>
  <c r="II8" i="1"/>
  <c r="IJ8" i="1" l="1"/>
  <c r="IK9" i="1"/>
  <c r="II7" i="1"/>
  <c r="IK8" i="1" l="1"/>
  <c r="IL9" i="1"/>
  <c r="IJ7" i="1"/>
  <c r="IL8" i="1" l="1"/>
  <c r="IM9" i="1"/>
  <c r="IL7" i="1"/>
  <c r="IK7" i="1"/>
  <c r="IN9" i="1" l="1"/>
  <c r="IM8" i="1"/>
  <c r="IO9" i="1" l="1"/>
  <c r="IN8" i="1"/>
  <c r="IN7" i="1"/>
  <c r="IM7" i="1"/>
  <c r="IP9" i="1" l="1"/>
  <c r="IO8" i="1"/>
  <c r="IO7" i="1" l="1"/>
  <c r="IQ9" i="1"/>
  <c r="IP8" i="1"/>
  <c r="IP7" i="1" l="1"/>
  <c r="IR9" i="1"/>
  <c r="IQ8" i="1"/>
  <c r="IQ7" i="1" l="1"/>
  <c r="IS9" i="1"/>
  <c r="IR8" i="1"/>
  <c r="IR7" i="1" l="1"/>
  <c r="IT9" i="1"/>
  <c r="IS8" i="1"/>
  <c r="IU9" i="1" l="1"/>
  <c r="IT8" i="1"/>
  <c r="IT7" i="1"/>
  <c r="IS7" i="1"/>
  <c r="IV9" i="1" l="1"/>
  <c r="IU8" i="1"/>
  <c r="IU7" i="1" l="1"/>
  <c r="IW9" i="1"/>
  <c r="IV8" i="1"/>
  <c r="IV7" i="1" l="1"/>
  <c r="IW8" i="1"/>
  <c r="IX9" i="1"/>
  <c r="IW7" i="1" l="1"/>
  <c r="IY9" i="1"/>
  <c r="IX8" i="1"/>
  <c r="IX7" i="1" l="1"/>
  <c r="IZ9" i="1"/>
  <c r="IY8" i="1"/>
  <c r="IY7" i="1"/>
  <c r="JA9" i="1" l="1"/>
  <c r="IZ8" i="1"/>
  <c r="IZ7" i="1" l="1"/>
  <c r="JA8" i="1"/>
  <c r="JB9" i="1"/>
  <c r="JC9" i="1" l="1"/>
  <c r="JB8" i="1"/>
  <c r="JB7" i="1"/>
  <c r="JA7" i="1"/>
  <c r="JD9" i="1" l="1"/>
  <c r="JC8" i="1"/>
  <c r="JC7" i="1"/>
  <c r="JE9" i="1" l="1"/>
  <c r="JD8" i="1"/>
  <c r="JD7" i="1" l="1"/>
  <c r="JE7" i="1"/>
  <c r="JE8" i="1"/>
  <c r="JF9" i="1"/>
  <c r="JF8" i="1" l="1"/>
  <c r="JG9" i="1"/>
  <c r="JH9" i="1" l="1"/>
  <c r="JG7" i="1"/>
  <c r="JG8" i="1"/>
  <c r="JF7" i="1"/>
  <c r="JI9" i="1" l="1"/>
  <c r="JH8" i="1"/>
  <c r="JH7" i="1"/>
  <c r="JJ9" i="1" l="1"/>
  <c r="JI8" i="1"/>
  <c r="JI7" i="1" l="1"/>
  <c r="JK9" i="1"/>
  <c r="JJ8" i="1"/>
  <c r="JJ7" i="1" l="1"/>
  <c r="JL9" i="1"/>
  <c r="JK8" i="1"/>
  <c r="JK7" i="1" l="1"/>
  <c r="JM9" i="1"/>
  <c r="JL8" i="1"/>
  <c r="JL7" i="1" l="1"/>
  <c r="JM8" i="1"/>
  <c r="JN9" i="1"/>
  <c r="JO9" i="1" l="1"/>
  <c r="JN8" i="1"/>
  <c r="JN7" i="1"/>
  <c r="JM7" i="1"/>
  <c r="JP9" i="1" l="1"/>
  <c r="JO8" i="1"/>
  <c r="JO7" i="1"/>
  <c r="JP8" i="1" l="1"/>
  <c r="JQ9" i="1"/>
  <c r="JR9" i="1" l="1"/>
  <c r="JQ8" i="1"/>
  <c r="JP7" i="1"/>
  <c r="JQ7" i="1" l="1"/>
  <c r="JS9" i="1"/>
  <c r="JR8" i="1"/>
  <c r="JT9" i="1" l="1"/>
  <c r="JS8" i="1"/>
  <c r="JR7" i="1"/>
  <c r="JS7" i="1" l="1"/>
  <c r="JU9" i="1"/>
  <c r="JT7" i="1"/>
  <c r="JT8" i="1"/>
  <c r="JU8" i="1" l="1"/>
  <c r="JV9" i="1"/>
  <c r="JW9" i="1" l="1"/>
  <c r="JV8" i="1"/>
  <c r="JU7" i="1"/>
  <c r="JV7" i="1" l="1"/>
  <c r="JX9" i="1"/>
  <c r="JW8" i="1"/>
  <c r="JY9" i="1" l="1"/>
  <c r="JX8" i="1"/>
  <c r="JW7" i="1"/>
  <c r="JX7" i="1" l="1"/>
  <c r="JZ9" i="1"/>
  <c r="JY7" i="1"/>
  <c r="JY8" i="1"/>
  <c r="JZ8" i="1" l="1"/>
  <c r="KA9" i="1"/>
  <c r="KB9" i="1" l="1"/>
  <c r="KA8" i="1"/>
  <c r="JZ7" i="1"/>
  <c r="KA7" i="1" l="1"/>
  <c r="KC9" i="1"/>
  <c r="KB8" i="1"/>
  <c r="KB7" i="1"/>
  <c r="KC8" i="1" l="1"/>
  <c r="KD9" i="1"/>
  <c r="KE9" i="1" l="1"/>
  <c r="KD8" i="1"/>
  <c r="KD7" i="1"/>
  <c r="KC7" i="1"/>
  <c r="KF9" i="1" l="1"/>
  <c r="KE7" i="1"/>
  <c r="KE8" i="1"/>
  <c r="KG9" i="1" l="1"/>
  <c r="KF8" i="1"/>
  <c r="KF7" i="1" l="1"/>
  <c r="KG8" i="1"/>
  <c r="KH9" i="1"/>
  <c r="KG7" i="1" l="1"/>
  <c r="KI9" i="1"/>
  <c r="KH8" i="1"/>
  <c r="KH7" i="1" l="1"/>
  <c r="KJ9" i="1"/>
  <c r="KI8" i="1"/>
  <c r="KI7" i="1" l="1"/>
  <c r="KK9" i="1"/>
  <c r="KJ8" i="1"/>
  <c r="KJ7" i="1"/>
  <c r="KK8" i="1" l="1"/>
  <c r="KL9" i="1"/>
  <c r="KM9" i="1" l="1"/>
  <c r="KL8" i="1"/>
  <c r="KK7" i="1"/>
  <c r="KL7" i="1" l="1"/>
  <c r="KN9" i="1"/>
  <c r="KM8" i="1"/>
  <c r="KN8" i="1" l="1"/>
  <c r="KO9" i="1"/>
  <c r="KM7" i="1"/>
  <c r="KP9" i="1" l="1"/>
  <c r="KO8" i="1"/>
  <c r="KN7" i="1"/>
  <c r="KO7" i="1" l="1"/>
  <c r="KQ9" i="1"/>
  <c r="KP8" i="1"/>
  <c r="KP7" i="1" l="1"/>
  <c r="KR9" i="1"/>
  <c r="KQ8" i="1"/>
  <c r="KQ7" i="1" l="1"/>
  <c r="KR8" i="1"/>
  <c r="KS9" i="1"/>
  <c r="KR7" i="1" l="1"/>
  <c r="KT9" i="1"/>
  <c r="KS7" i="1"/>
  <c r="KS8" i="1"/>
  <c r="KU9" i="1" l="1"/>
  <c r="KT8" i="1"/>
  <c r="KT7" i="1" l="1"/>
  <c r="KV9" i="1"/>
  <c r="KU7" i="1"/>
  <c r="KU8" i="1"/>
  <c r="KW9" i="1" l="1"/>
  <c r="KV8" i="1"/>
  <c r="KV7" i="1" l="1"/>
  <c r="KW8" i="1"/>
  <c r="KX9" i="1"/>
  <c r="KY9" i="1" l="1"/>
  <c r="KX8" i="1"/>
  <c r="KW7" i="1"/>
  <c r="KX7" i="1" l="1"/>
  <c r="KZ9" i="1"/>
  <c r="KY8" i="1"/>
  <c r="KY7" i="1"/>
  <c r="LA9" i="1" l="1"/>
  <c r="KZ8" i="1"/>
  <c r="KZ7" i="1" l="1"/>
  <c r="LB9" i="1"/>
  <c r="LA8" i="1"/>
  <c r="LB8" i="1" l="1"/>
  <c r="LC9" i="1"/>
  <c r="LA7" i="1"/>
  <c r="LD9" i="1" l="1"/>
  <c r="LC8" i="1"/>
  <c r="LB7" i="1"/>
  <c r="LC7" i="1" l="1"/>
  <c r="LE9" i="1"/>
  <c r="LD8" i="1"/>
  <c r="LD7" i="1" l="1"/>
  <c r="LF9" i="1"/>
  <c r="LE8" i="1"/>
  <c r="LF8" i="1" l="1"/>
  <c r="LG9" i="1"/>
  <c r="LF7" i="1"/>
  <c r="LE7" i="1"/>
  <c r="LH9" i="1" l="1"/>
  <c r="LG8" i="1"/>
  <c r="LG7" i="1" l="1"/>
  <c r="LI9" i="1"/>
  <c r="LH8" i="1"/>
  <c r="LH7" i="1" l="1"/>
  <c r="LI8" i="1"/>
  <c r="LJ9" i="1"/>
  <c r="LI7" i="1" l="1"/>
  <c r="LK9" i="1"/>
  <c r="LJ8" i="1"/>
  <c r="LJ7" i="1" l="1"/>
  <c r="LL9" i="1"/>
  <c r="LK8" i="1"/>
  <c r="LL8" i="1" l="1"/>
  <c r="LM9" i="1"/>
  <c r="LK7" i="1"/>
  <c r="LM8" i="1" l="1"/>
  <c r="LN9" i="1"/>
  <c r="LL7" i="1"/>
  <c r="LO9" i="1" l="1"/>
  <c r="LN8" i="1"/>
  <c r="LM7" i="1"/>
  <c r="LP9" i="1" l="1"/>
  <c r="LO8" i="1"/>
  <c r="LN7" i="1"/>
  <c r="LO7" i="1" l="1"/>
  <c r="LQ9" i="1"/>
  <c r="LP7" i="1"/>
  <c r="LP8" i="1"/>
  <c r="LQ8" i="1" l="1"/>
  <c r="LR9" i="1"/>
  <c r="LS9" i="1" l="1"/>
  <c r="LR8" i="1"/>
  <c r="LQ7" i="1"/>
  <c r="LR7" i="1" l="1"/>
  <c r="LT9" i="1"/>
  <c r="LS8" i="1"/>
  <c r="LU9" i="1" l="1"/>
  <c r="LT8" i="1"/>
  <c r="LT7" i="1"/>
  <c r="LS7" i="1"/>
  <c r="LV9" i="1" l="1"/>
  <c r="LU8" i="1"/>
  <c r="LU7" i="1" l="1"/>
  <c r="LW9" i="1"/>
  <c r="LV8" i="1"/>
  <c r="LV7" i="1" l="1"/>
  <c r="LX9" i="1"/>
  <c r="LW8" i="1"/>
  <c r="LW7" i="1" l="1"/>
  <c r="LY9" i="1"/>
  <c r="LX8" i="1"/>
  <c r="LY8" i="1" l="1"/>
  <c r="LZ9" i="1"/>
  <c r="LX7" i="1"/>
  <c r="MA9" i="1" l="1"/>
  <c r="LZ8" i="1"/>
  <c r="LY7" i="1"/>
  <c r="LZ7" i="1" l="1"/>
  <c r="MB9" i="1"/>
  <c r="MA8" i="1"/>
  <c r="MC9" i="1" l="1"/>
  <c r="MB8" i="1"/>
  <c r="MA7" i="1"/>
  <c r="MB7" i="1" l="1"/>
  <c r="MD9" i="1"/>
  <c r="MC7" i="1"/>
  <c r="MC8" i="1"/>
  <c r="ME9" i="1" l="1"/>
  <c r="MD8" i="1"/>
  <c r="MD7" i="1" l="1"/>
  <c r="MF9" i="1"/>
  <c r="ME7" i="1"/>
  <c r="ME8" i="1"/>
  <c r="MG9" i="1" l="1"/>
  <c r="MF8" i="1"/>
  <c r="MF7" i="1" l="1"/>
  <c r="MG8" i="1"/>
  <c r="MH9" i="1"/>
  <c r="MG7" i="1"/>
  <c r="MH8" i="1" l="1"/>
  <c r="MI9" i="1"/>
  <c r="MJ9" i="1" l="1"/>
  <c r="MI7" i="1"/>
  <c r="MI8" i="1"/>
  <c r="MH7" i="1"/>
  <c r="MK9" i="1" l="1"/>
  <c r="MJ8" i="1"/>
  <c r="MJ7" i="1" l="1"/>
  <c r="ML9" i="1"/>
  <c r="MK8" i="1"/>
  <c r="MK7" i="1"/>
  <c r="MM9" i="1" l="1"/>
  <c r="ML8" i="1"/>
  <c r="ML7" i="1" l="1"/>
  <c r="MN9" i="1"/>
  <c r="MM7" i="1"/>
  <c r="MM8" i="1"/>
  <c r="MO9" i="1" l="1"/>
  <c r="MN8" i="1"/>
  <c r="MO8" i="1" l="1"/>
  <c r="MP9" i="1"/>
  <c r="MO7" i="1"/>
  <c r="MN7" i="1"/>
  <c r="MQ9" i="1" l="1"/>
  <c r="MP8" i="1"/>
  <c r="MP7" i="1" l="1"/>
  <c r="MR9" i="1"/>
  <c r="MQ7" i="1"/>
  <c r="MQ8" i="1"/>
  <c r="MS9" i="1" l="1"/>
  <c r="MR8" i="1"/>
  <c r="MR7" i="1" l="1"/>
  <c r="MS8" i="1"/>
  <c r="MT9" i="1"/>
  <c r="MS7" i="1" l="1"/>
  <c r="MU9" i="1"/>
  <c r="MT8" i="1"/>
  <c r="MT7" i="1" l="1"/>
  <c r="MV9" i="1"/>
  <c r="MU8" i="1"/>
  <c r="MU7" i="1" l="1"/>
  <c r="MW9" i="1"/>
  <c r="MV8" i="1"/>
  <c r="MV7" i="1"/>
  <c r="MW8" i="1" l="1"/>
  <c r="MW7" i="1"/>
  <c r="MX9" i="1"/>
  <c r="MY9" i="1" l="1"/>
  <c r="MX8" i="1"/>
  <c r="MX7" i="1" l="1"/>
  <c r="MZ9" i="1"/>
  <c r="MY7" i="1"/>
  <c r="MY8" i="1"/>
  <c r="NA9" i="1" l="1"/>
  <c r="MZ8" i="1"/>
  <c r="MZ7" i="1" l="1"/>
  <c r="NB9" i="1"/>
  <c r="NA8" i="1"/>
  <c r="NA7" i="1"/>
  <c r="NC9" i="1" l="1"/>
  <c r="NB8" i="1"/>
  <c r="NB7" i="1" l="1"/>
  <c r="ND9" i="1"/>
  <c r="NC7" i="1"/>
  <c r="NC8" i="1"/>
  <c r="NE9" i="1" l="1"/>
  <c r="ND8" i="1"/>
  <c r="NF9" i="1" l="1"/>
  <c r="NE8" i="1"/>
  <c r="NE7" i="1"/>
  <c r="ND7" i="1"/>
  <c r="NG9" i="1" l="1"/>
  <c r="NF8" i="1"/>
  <c r="NF7" i="1"/>
  <c r="NH9" i="1" l="1"/>
  <c r="NG8" i="1"/>
  <c r="NG7" i="1" l="1"/>
  <c r="NH8" i="1"/>
  <c r="NI9" i="1"/>
  <c r="NI8" i="1" l="1"/>
  <c r="NJ9" i="1"/>
  <c r="NH7" i="1"/>
  <c r="NJ8" i="1" l="1"/>
  <c r="NI7" i="1"/>
  <c r="NJ7" i="1" l="1"/>
</calcChain>
</file>

<file path=xl/comments1.xml><?xml version="1.0" encoding="utf-8"?>
<comments xmlns="http://schemas.openxmlformats.org/spreadsheetml/2006/main">
  <authors>
    <author>suechr</author>
  </authors>
  <commentList>
    <comment ref="Q45" authorId="0" shapeId="0">
      <text>
        <r>
          <rPr>
            <b/>
            <sz val="9"/>
            <color indexed="81"/>
            <rFont val="Tahoma"/>
            <family val="2"/>
          </rPr>
          <t>inkl. E3-Info ab 14:00 in der Aula
anschl. TL-Sitzung</t>
        </r>
      </text>
    </comment>
    <comment ref="AE53" authorId="0" shapeId="0">
      <text>
        <r>
          <rPr>
            <b/>
            <sz val="9"/>
            <color indexed="81"/>
            <rFont val="Tahoma"/>
            <family val="2"/>
          </rPr>
          <t>Termin/Ort nach Absprache mit Kurt Heim</t>
        </r>
      </text>
    </comment>
    <comment ref="BA69" authorId="0" shapeId="0">
      <text>
        <r>
          <rPr>
            <b/>
            <sz val="9"/>
            <color indexed="81"/>
            <rFont val="Tahoma"/>
            <family val="2"/>
          </rPr>
          <t>in Erlen
Termin mit A. Buser abstimmen</t>
        </r>
      </text>
    </comment>
  </commentList>
</comments>
</file>

<file path=xl/sharedStrings.xml><?xml version="1.0" encoding="utf-8"?>
<sst xmlns="http://schemas.openxmlformats.org/spreadsheetml/2006/main" count="373" uniqueCount="112">
  <si>
    <t>Auftrag</t>
  </si>
  <si>
    <t>Fahrzeug</t>
  </si>
  <si>
    <t>Start-Datum</t>
  </si>
  <si>
    <t>End-Datum</t>
  </si>
  <si>
    <t>Terminbestätigung</t>
  </si>
  <si>
    <t>T1</t>
  </si>
  <si>
    <t>T2</t>
  </si>
  <si>
    <t>T3</t>
  </si>
  <si>
    <t>T4</t>
  </si>
  <si>
    <t>T5</t>
  </si>
  <si>
    <t>--</t>
  </si>
  <si>
    <t>WK 01</t>
  </si>
  <si>
    <t>Änderung</t>
  </si>
  <si>
    <t>Verantwortlicher</t>
  </si>
  <si>
    <t>Begründung</t>
  </si>
  <si>
    <t>Datum</t>
  </si>
  <si>
    <t>User</t>
  </si>
  <si>
    <t>Bereich HR kennenlernen</t>
  </si>
  <si>
    <t>Kummer</t>
  </si>
  <si>
    <t>wer</t>
  </si>
  <si>
    <t>Beschreibung</t>
  </si>
  <si>
    <t>Bereich T1 kennenlernen</t>
  </si>
  <si>
    <t>Fehr</t>
  </si>
  <si>
    <t>Bereich T2 kennenlernen</t>
  </si>
  <si>
    <t>Bikle</t>
  </si>
  <si>
    <t>Bereich Einkauf kennenlernen</t>
  </si>
  <si>
    <t>Frischkn.</t>
  </si>
  <si>
    <t>Abteilung QS kennenlernen</t>
  </si>
  <si>
    <t>Mosimann</t>
  </si>
  <si>
    <t>Bereich Produktion T1 kennenlernen</t>
  </si>
  <si>
    <t>Schwendener</t>
  </si>
  <si>
    <t>Bereich Produktion T2 kennenlernen</t>
  </si>
  <si>
    <t>Wehrlin</t>
  </si>
  <si>
    <t>Abteilung Controlling kennenlernen</t>
  </si>
  <si>
    <t>Bayer</t>
  </si>
  <si>
    <t>Abteilung Logistik kennenlernen</t>
  </si>
  <si>
    <t>Oberfranz</t>
  </si>
  <si>
    <t>Abteilung QM kennenlernen</t>
  </si>
  <si>
    <t>Löffel</t>
  </si>
  <si>
    <t>Bereich Auftragsabwicklung kennenlernen</t>
  </si>
  <si>
    <t>Laubacher</t>
  </si>
  <si>
    <t>Abteilung Software kennenlernen</t>
  </si>
  <si>
    <t>Streller</t>
  </si>
  <si>
    <t>Erfahrungsaustausch Assistent Produktion</t>
  </si>
  <si>
    <t>Windorfer</t>
  </si>
  <si>
    <t>Erfahrungsaustausch Assistent CEO</t>
  </si>
  <si>
    <t>Bruderer</t>
  </si>
  <si>
    <t>Einarbeitung Dominik Niedermann</t>
  </si>
  <si>
    <t>Begleitung BL-Sitzung</t>
  </si>
  <si>
    <t>Graba</t>
  </si>
  <si>
    <t>Begleitung TL-Sitzung</t>
  </si>
  <si>
    <t>Heim</t>
  </si>
  <si>
    <t>Begleitung AL-Sitzung</t>
  </si>
  <si>
    <t>Begleitung PLG-Monatssitzung</t>
  </si>
  <si>
    <t>Süess</t>
  </si>
  <si>
    <t>Abstimmung TECadmin</t>
  </si>
  <si>
    <t>Geisenberger</t>
  </si>
  <si>
    <t>Zuber</t>
  </si>
  <si>
    <t>Auslenkversuch Appenzellerbahn Tram</t>
  </si>
  <si>
    <t>Reymond</t>
  </si>
  <si>
    <t>Werksprobefahrt SBB Lex</t>
  </si>
  <si>
    <t>Hochspannunsprüfung EC250</t>
  </si>
  <si>
    <t>Bremsprüfung VdA Fz5</t>
  </si>
  <si>
    <t>Lusti</t>
  </si>
  <si>
    <t>Schemaprüfung mit E3</t>
  </si>
  <si>
    <t>Taubert</t>
  </si>
  <si>
    <t>Türprüfung SBB Lex</t>
  </si>
  <si>
    <t>Besuch Aussenstandort</t>
  </si>
  <si>
    <t>Buser</t>
  </si>
  <si>
    <t>Fahrwerkschulung</t>
  </si>
  <si>
    <t>Lieberherr</t>
  </si>
  <si>
    <t>Brändle</t>
  </si>
  <si>
    <t>wöch.</t>
  </si>
  <si>
    <t>TEC Training</t>
  </si>
  <si>
    <t>admin</t>
  </si>
  <si>
    <t>IBS</t>
  </si>
  <si>
    <t>Calitime Training</t>
  </si>
  <si>
    <t>Krasniqui</t>
  </si>
  <si>
    <t>TEC</t>
  </si>
  <si>
    <t>9:00</t>
  </si>
  <si>
    <t>8:00</t>
  </si>
  <si>
    <t>14:00</t>
  </si>
  <si>
    <t>15:00</t>
  </si>
  <si>
    <t>Mladenovic</t>
  </si>
  <si>
    <t>Selbstudium Stadler Reglemente</t>
  </si>
  <si>
    <t>Niedermann</t>
  </si>
  <si>
    <t>SQL Training extern</t>
  </si>
  <si>
    <t>VBA Training extern</t>
  </si>
  <si>
    <t>10:00</t>
  </si>
  <si>
    <t>10:30</t>
  </si>
  <si>
    <t>Dauer (h)</t>
  </si>
  <si>
    <t>7:30</t>
  </si>
  <si>
    <t>13:00</t>
  </si>
  <si>
    <t>Produktionsplanung kennenlernen</t>
  </si>
  <si>
    <t>Begleitung Auftragsreview (AR)</t>
  </si>
  <si>
    <t>IT</t>
  </si>
  <si>
    <t>Bereich IT kennenlernen</t>
  </si>
  <si>
    <t>Izairi</t>
  </si>
  <si>
    <t>PLM</t>
  </si>
  <si>
    <t>PLM kennenlernen</t>
  </si>
  <si>
    <t>Reichlin</t>
  </si>
  <si>
    <t>IBS - IT</t>
  </si>
  <si>
    <t>Bereich IBS - IT kennenlernen</t>
  </si>
  <si>
    <t>Linke</t>
  </si>
  <si>
    <t>MA-Planung</t>
  </si>
  <si>
    <t>MA Planungstool kennenlernen</t>
  </si>
  <si>
    <t>Guidon</t>
  </si>
  <si>
    <t>9:30</t>
  </si>
  <si>
    <t>14:45</t>
  </si>
  <si>
    <t>7:00</t>
  </si>
  <si>
    <t>Fz Aufsetzen EC250</t>
  </si>
  <si>
    <t>Interne Werkabnahme SBB Lex Fz6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</si>
</sst>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"/>
    <numFmt numFmtId="165" formatCode="mmm"/>
  </numFmts>
  <fonts count="16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5"/>
      <name val="Arial"/>
      <family val="2"/>
    </font>
    <font>
      <sz val="5"/>
      <color theme="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sz val="14"/>
      <color theme="0"/>
      <name val="Arial"/>
      <family val="2"/>
    </font>
    <font>
      <b/>
      <sz val="14"/>
      <color theme="0"/>
      <name val="Arial"/>
      <family val="2"/>
    </font>
    <font>
      <b/>
      <i/>
      <sz val="14"/>
      <color theme="0"/>
      <name val="Arial"/>
      <family val="2"/>
    </font>
    <font>
      <b/>
      <i/>
      <sz val="14"/>
      <color rgb="FFFFFF00"/>
      <name val="Arial"/>
      <family val="2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mediumGray">
        <fgColor indexed="44"/>
      </patternFill>
    </fill>
    <fill>
      <patternFill patternType="solid">
        <fgColor indexed="44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79">
    <xf numFmtId="0" fontId="0" fillId="0" borderId="0" xfId="0"/>
    <xf numFmtId="0" fontId="0" fillId="0" borderId="0" xfId="0" applyFill="1" applyBorder="1" applyAlignment="1" applyProtection="1">
      <alignment vertical="center"/>
    </xf>
    <xf numFmtId="3" fontId="0" fillId="0" borderId="0" xfId="0" applyNumberFormat="1" applyFill="1" applyBorder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vertical="center"/>
    </xf>
    <xf numFmtId="164" fontId="4" fillId="0" borderId="0" xfId="0" applyNumberFormat="1" applyFont="1" applyFill="1" applyAlignment="1" applyProtection="1">
      <alignment vertical="center"/>
    </xf>
    <xf numFmtId="14" fontId="5" fillId="0" borderId="0" xfId="0" applyNumberFormat="1" applyFont="1" applyFill="1" applyAlignment="1" applyProtection="1">
      <alignment vertical="center"/>
    </xf>
    <xf numFmtId="1" fontId="3" fillId="0" borderId="0" xfId="0" applyNumberFormat="1" applyFont="1" applyFill="1" applyAlignment="1" applyProtection="1">
      <alignment vertical="center"/>
    </xf>
    <xf numFmtId="0" fontId="5" fillId="0" borderId="0" xfId="0" applyFont="1" applyFill="1" applyAlignment="1" applyProtection="1">
      <alignment vertical="center"/>
    </xf>
    <xf numFmtId="165" fontId="6" fillId="0" borderId="3" xfId="0" applyNumberFormat="1" applyFont="1" applyBorder="1" applyAlignment="1" applyProtection="1">
      <alignment vertical="center"/>
    </xf>
    <xf numFmtId="0" fontId="0" fillId="0" borderId="0" xfId="0" applyAlignment="1" applyProtection="1">
      <alignment vertical="center"/>
      <protection locked="0"/>
    </xf>
    <xf numFmtId="0" fontId="6" fillId="0" borderId="5" xfId="0" applyNumberFormat="1" applyFont="1" applyBorder="1" applyAlignment="1" applyProtection="1">
      <alignment vertical="center"/>
    </xf>
    <xf numFmtId="0" fontId="6" fillId="0" borderId="6" xfId="0" applyNumberFormat="1" applyFont="1" applyBorder="1" applyAlignment="1" applyProtection="1">
      <alignment vertical="center"/>
    </xf>
    <xf numFmtId="0" fontId="7" fillId="0" borderId="11" xfId="0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7" fillId="0" borderId="0" xfId="0" applyFont="1" applyProtection="1"/>
    <xf numFmtId="3" fontId="7" fillId="0" borderId="0" xfId="0" applyNumberFormat="1" applyFont="1" applyFill="1" applyProtection="1">
      <protection locked="0"/>
    </xf>
    <xf numFmtId="0" fontId="7" fillId="0" borderId="0" xfId="0" applyFont="1" applyFill="1" applyProtection="1"/>
    <xf numFmtId="0" fontId="7" fillId="0" borderId="0" xfId="0" applyFont="1" applyFill="1" applyProtection="1">
      <protection locked="0"/>
    </xf>
    <xf numFmtId="0" fontId="8" fillId="0" borderId="0" xfId="0" applyFont="1" applyFill="1" applyProtection="1"/>
    <xf numFmtId="0" fontId="5" fillId="4" borderId="0" xfId="0" applyFont="1" applyFill="1" applyAlignment="1" applyProtection="1">
      <alignment vertical="center"/>
    </xf>
    <xf numFmtId="0" fontId="7" fillId="0" borderId="0" xfId="0" applyFont="1" applyBorder="1" applyProtection="1"/>
    <xf numFmtId="3" fontId="7" fillId="0" borderId="0" xfId="0" applyNumberFormat="1" applyFont="1" applyFill="1" applyBorder="1" applyProtection="1">
      <protection locked="0"/>
    </xf>
    <xf numFmtId="0" fontId="7" fillId="0" borderId="0" xfId="0" applyFont="1" applyFill="1" applyBorder="1" applyProtection="1"/>
    <xf numFmtId="0" fontId="7" fillId="0" borderId="0" xfId="0" applyFont="1" applyFill="1" applyBorder="1" applyProtection="1">
      <protection locked="0"/>
    </xf>
    <xf numFmtId="0" fontId="7" fillId="0" borderId="0" xfId="0" quotePrefix="1" applyFont="1" applyBorder="1" applyProtection="1"/>
    <xf numFmtId="0" fontId="7" fillId="0" borderId="17" xfId="0" applyFont="1" applyBorder="1" applyAlignment="1" applyProtection="1">
      <alignment vertical="center"/>
    </xf>
    <xf numFmtId="0" fontId="7" fillId="0" borderId="14" xfId="0" applyFont="1" applyBorder="1" applyProtection="1"/>
    <xf numFmtId="0" fontId="5" fillId="4" borderId="19" xfId="0" applyFont="1" applyFill="1" applyBorder="1" applyAlignment="1" applyProtection="1">
      <alignment vertical="center"/>
    </xf>
    <xf numFmtId="0" fontId="5" fillId="4" borderId="20" xfId="0" applyFont="1" applyFill="1" applyBorder="1" applyAlignment="1" applyProtection="1">
      <alignment vertical="center"/>
    </xf>
    <xf numFmtId="165" fontId="6" fillId="0" borderId="22" xfId="0" applyNumberFormat="1" applyFont="1" applyBorder="1" applyAlignment="1" applyProtection="1">
      <alignment vertical="center"/>
    </xf>
    <xf numFmtId="0" fontId="6" fillId="0" borderId="23" xfId="0" applyNumberFormat="1" applyFont="1" applyBorder="1" applyAlignment="1" applyProtection="1">
      <alignment vertical="center"/>
    </xf>
    <xf numFmtId="0" fontId="7" fillId="0" borderId="24" xfId="0" applyFont="1" applyFill="1" applyBorder="1" applyProtection="1">
      <protection locked="0"/>
    </xf>
    <xf numFmtId="0" fontId="9" fillId="4" borderId="19" xfId="0" applyFont="1" applyFill="1" applyBorder="1" applyAlignment="1" applyProtection="1">
      <alignment vertical="center"/>
    </xf>
    <xf numFmtId="0" fontId="11" fillId="4" borderId="19" xfId="0" applyFont="1" applyFill="1" applyBorder="1" applyAlignment="1" applyProtection="1">
      <alignment vertical="center"/>
    </xf>
    <xf numFmtId="0" fontId="12" fillId="4" borderId="19" xfId="0" applyFont="1" applyFill="1" applyBorder="1" applyAlignment="1" applyProtection="1">
      <alignment horizontal="right" vertical="center"/>
    </xf>
    <xf numFmtId="0" fontId="13" fillId="0" borderId="25" xfId="0" applyFont="1" applyBorder="1"/>
    <xf numFmtId="0" fontId="13" fillId="0" borderId="26" xfId="0" applyFont="1" applyBorder="1"/>
    <xf numFmtId="0" fontId="13" fillId="0" borderId="17" xfId="0" applyFont="1" applyBorder="1"/>
    <xf numFmtId="0" fontId="7" fillId="5" borderId="0" xfId="0" applyFont="1" applyFill="1" applyBorder="1" applyProtection="1">
      <protection locked="0"/>
    </xf>
    <xf numFmtId="0" fontId="7" fillId="6" borderId="0" xfId="0" applyFont="1" applyFill="1" applyBorder="1" applyProtection="1"/>
    <xf numFmtId="0" fontId="0" fillId="0" borderId="0" xfId="0" applyFill="1" applyBorder="1" applyAlignment="1" applyProtection="1">
      <alignment horizontal="center" vertic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5" borderId="0" xfId="0" applyFont="1" applyFill="1" applyBorder="1" applyProtection="1"/>
    <xf numFmtId="14" fontId="7" fillId="0" borderId="0" xfId="0" applyNumberFormat="1" applyFont="1" applyFill="1" applyBorder="1" applyProtection="1">
      <protection locked="0"/>
    </xf>
    <xf numFmtId="0" fontId="7" fillId="7" borderId="0" xfId="0" applyFont="1" applyFill="1" applyBorder="1" applyProtection="1">
      <protection locked="0"/>
    </xf>
    <xf numFmtId="0" fontId="7" fillId="7" borderId="0" xfId="0" quotePrefix="1" applyFont="1" applyFill="1" applyBorder="1" applyProtection="1">
      <protection locked="0"/>
    </xf>
    <xf numFmtId="0" fontId="15" fillId="7" borderId="0" xfId="0" quotePrefix="1" applyFont="1" applyFill="1" applyBorder="1" applyProtection="1">
      <protection locked="0"/>
    </xf>
    <xf numFmtId="0" fontId="10" fillId="8" borderId="18" xfId="0" applyFont="1" applyFill="1" applyBorder="1" applyAlignment="1" applyProtection="1">
      <alignment vertical="center"/>
    </xf>
    <xf numFmtId="0" fontId="3" fillId="8" borderId="19" xfId="0" applyFont="1" applyFill="1" applyBorder="1" applyAlignment="1" applyProtection="1">
      <alignment vertical="center"/>
    </xf>
    <xf numFmtId="0" fontId="3" fillId="8" borderId="19" xfId="0" applyFont="1" applyFill="1" applyBorder="1" applyAlignment="1" applyProtection="1">
      <alignment horizontal="center" vertical="center"/>
    </xf>
    <xf numFmtId="3" fontId="3" fillId="8" borderId="19" xfId="0" applyNumberFormat="1" applyFont="1" applyFill="1" applyBorder="1" applyAlignment="1" applyProtection="1">
      <alignment vertical="center"/>
    </xf>
    <xf numFmtId="0" fontId="5" fillId="8" borderId="19" xfId="0" applyFont="1" applyFill="1" applyBorder="1" applyAlignment="1" applyProtection="1">
      <alignment vertical="center"/>
    </xf>
    <xf numFmtId="165" fontId="6" fillId="9" borderId="3" xfId="0" applyNumberFormat="1" applyFont="1" applyFill="1" applyBorder="1" applyAlignment="1" applyProtection="1">
      <alignment vertical="center"/>
    </xf>
    <xf numFmtId="164" fontId="7" fillId="3" borderId="20" xfId="0" applyNumberFormat="1" applyFont="1" applyFill="1" applyBorder="1" applyAlignment="1" applyProtection="1">
      <alignment horizontal="center" vertical="center" textRotation="90"/>
    </xf>
    <xf numFmtId="164" fontId="7" fillId="0" borderId="21" xfId="0" applyNumberFormat="1" applyFont="1" applyBorder="1" applyAlignment="1">
      <alignment horizontal="center" vertical="center" textRotation="90"/>
    </xf>
    <xf numFmtId="164" fontId="7" fillId="3" borderId="10" xfId="0" applyNumberFormat="1" applyFont="1" applyFill="1" applyBorder="1" applyAlignment="1" applyProtection="1">
      <alignment horizontal="center" vertical="center" textRotation="90"/>
    </xf>
    <xf numFmtId="164" fontId="7" fillId="0" borderId="13" xfId="0" applyNumberFormat="1" applyFont="1" applyBorder="1" applyAlignment="1">
      <alignment horizontal="center" vertical="center" textRotation="90"/>
    </xf>
    <xf numFmtId="0" fontId="13" fillId="2" borderId="15" xfId="0" applyFont="1" applyFill="1" applyBorder="1" applyAlignment="1" applyProtection="1">
      <alignment horizontal="center" vertical="center"/>
    </xf>
    <xf numFmtId="0" fontId="13" fillId="2" borderId="2" xfId="0" applyFont="1" applyFill="1" applyBorder="1" applyAlignment="1" applyProtection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3" fillId="2" borderId="14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13" fillId="2" borderId="16" xfId="0" applyFont="1" applyFill="1" applyBorder="1" applyAlignment="1" applyProtection="1">
      <alignment horizontal="center" vertical="center"/>
    </xf>
    <xf numFmtId="0" fontId="13" fillId="2" borderId="8" xfId="0" applyFont="1" applyFill="1" applyBorder="1" applyAlignment="1" applyProtection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164" fontId="7" fillId="10" borderId="10" xfId="0" applyNumberFormat="1" applyFont="1" applyFill="1" applyBorder="1" applyAlignment="1" applyProtection="1">
      <alignment horizontal="center" vertical="center" textRotation="90"/>
    </xf>
    <xf numFmtId="164" fontId="7" fillId="10" borderId="13" xfId="0" applyNumberFormat="1" applyFont="1" applyFill="1" applyBorder="1" applyAlignment="1">
      <alignment horizontal="center" vertical="center" textRotation="90"/>
    </xf>
    <xf numFmtId="164" fontId="7" fillId="10" borderId="13" xfId="0" applyNumberFormat="1" applyFont="1" applyFill="1" applyBorder="1" applyAlignment="1" applyProtection="1">
      <alignment horizontal="center" vertical="center" textRotation="90"/>
    </xf>
    <xf numFmtId="164" fontId="7" fillId="10" borderId="9" xfId="0" applyNumberFormat="1" applyFont="1" applyFill="1" applyBorder="1" applyAlignment="1" applyProtection="1">
      <alignment horizontal="center" vertical="center" textRotation="90"/>
    </xf>
    <xf numFmtId="164" fontId="7" fillId="10" borderId="12" xfId="0" applyNumberFormat="1" applyFont="1" applyFill="1" applyBorder="1" applyAlignment="1">
      <alignment horizontal="center" vertical="center" textRotation="90"/>
    </xf>
  </cellXfs>
  <cellStyles count="20">
    <cellStyle name="Normal" xfId="0" builtinId="0"/>
    <cellStyle name="Standard 2" xfId="1"/>
    <cellStyle name="Standard 2 2" xfId="2"/>
    <cellStyle name="Standard 3" xfId="3"/>
    <cellStyle name="Standard 3 2" xfId="4"/>
    <cellStyle name="Standard 3 2 2" xfId="5"/>
    <cellStyle name="Standard 3 2 2 2" xfId="6"/>
    <cellStyle name="Standard 3 2 2 2 2" xfId="7"/>
    <cellStyle name="Standard 3 2 2 3" xfId="8"/>
    <cellStyle name="Standard 3 2 3" xfId="9"/>
    <cellStyle name="Standard 3 2 3 2" xfId="10"/>
    <cellStyle name="Standard 3 2 4" xfId="11"/>
    <cellStyle name="Standard 3 3" xfId="12"/>
    <cellStyle name="Standard 3 3 2" xfId="13"/>
    <cellStyle name="Standard 3 3 2 2" xfId="14"/>
    <cellStyle name="Standard 3 3 3" xfId="15"/>
    <cellStyle name="Standard 3 4" xfId="16"/>
    <cellStyle name="Standard 3 4 2" xfId="17"/>
    <cellStyle name="Standard 3 5" xfId="18"/>
    <cellStyle name="Standard 4" xfId="19"/>
  </cellStyles>
  <dxfs count="4038">
    <dxf>
      <border>
        <bottom style="hair">
          <color auto="1"/>
        </bottom>
      </border>
    </dxf>
    <dxf>
      <border>
        <bottom style="hair">
          <color auto="1"/>
        </bottom>
      </border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EAEAEA"/>
        </patternFill>
      </fill>
    </dxf>
    <dxf>
      <fill>
        <patternFill>
          <fgColor indexed="64"/>
          <bgColor theme="1"/>
        </patternFill>
      </fill>
    </dxf>
    <dxf>
      <border>
        <bottom style="hair">
          <color auto="1"/>
        </bottom>
      </border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D9D9D9"/>
        </patternFill>
      </fill>
    </dxf>
    <dxf>
      <fill>
        <patternFill>
          <fgColor indexed="64"/>
          <bgColor rgb="FFC4D79B"/>
        </patternFill>
      </fill>
    </dxf>
    <dxf>
      <fill>
        <patternFill>
          <fgColor indexed="64"/>
          <bgColor rgb="FFFCD5B4"/>
        </patternFill>
      </fill>
    </dxf>
    <dxf>
      <fill>
        <patternFill>
          <fgColor indexed="64"/>
          <bgColor rgb="FF669900"/>
        </patternFill>
      </fill>
    </dxf>
    <dxf>
      <fill>
        <patternFill>
          <fgColor indexed="64"/>
          <bgColor rgb="FFE6B8B7"/>
        </patternFill>
      </fill>
    </dxf>
    <dxf>
      <fill>
        <patternFill>
          <fgColor indexed="64"/>
          <bgColor rgb="FF92CDDC"/>
        </patternFill>
      </fill>
    </dxf>
    <dxf>
      <fill>
        <patternFill>
          <fgColor indexed="64"/>
          <bgColor rgb="FFCCECFF"/>
        </patternFill>
      </fill>
    </dxf>
    <dxf>
      <font>
        <color indexed="9"/>
      </font>
      <fill>
        <patternFill>
          <fgColor indexed="64"/>
          <bgColor rgb="FFB2B2B2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FF00"/>
        </patternFill>
      </fill>
    </dxf>
    <dxf>
      <fill>
        <patternFill patternType="lightDown">
          <fgColor theme="1"/>
        </patternFill>
      </fill>
    </dxf>
    <dxf>
      <font>
        <color auto="1"/>
      </font>
      <fill>
        <patternFill>
          <fgColor indexed="64"/>
          <bgColor rgb="FFFF9933"/>
        </patternFill>
      </fill>
    </dxf>
    <dxf>
      <font>
        <color auto="1"/>
      </font>
      <fill>
        <patternFill>
          <fgColor indexed="64"/>
          <bgColor rgb="FF00CC00"/>
        </patternFill>
      </fill>
    </dxf>
    <dxf>
      <border>
        <left style="thin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rgb="FFDDDDDD"/>
        </patternFill>
      </fill>
    </dxf>
    <dxf>
      <fill>
        <patternFill patternType="solid">
          <fgColor indexed="64"/>
          <bgColor rgb="FFFF0000"/>
        </patternFill>
      </fill>
    </dxf>
    <dxf>
      <fill>
        <patternFill patternType="solid">
          <fgColor indexed="64"/>
          <bgColor rgb="FF99CCFF"/>
        </patternFill>
      </fill>
    </dxf>
    <dxf>
      <fill>
        <patternFill patternType="solid">
          <fgColor indexed="64"/>
          <bgColor rgb="FF669900"/>
        </patternFill>
      </fill>
    </dxf>
    <dxf>
      <fill>
        <patternFill>
          <fgColor indexed="64"/>
          <bgColor theme="1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FF99"/>
        </patternFill>
      </fill>
    </dxf>
    <dxf>
      <font>
        <color rgb="FFCCFFCC"/>
      </font>
      <fill>
        <patternFill>
          <fgColor indexed="64"/>
          <bgColor rgb="FFB2B2B2"/>
        </patternFill>
      </fill>
    </dxf>
    <dxf>
      <font>
        <color rgb="FFCCFFCC"/>
      </font>
      <fill>
        <patternFill>
          <fgColor indexed="64"/>
          <bgColor rgb="FFCCFFCC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ont>
        <color indexed="9"/>
      </font>
      <fill>
        <patternFill>
          <fgColor indexed="64"/>
          <bgColor rgb="FF3366FF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C4BD97"/>
        </patternFill>
      </fill>
    </dxf>
    <dxf>
      <fill>
        <patternFill>
          <fgColor indexed="64"/>
          <bgColor rgb="FFCCC0DA"/>
        </patternFill>
      </fill>
    </dxf>
    <dxf>
      <fill>
        <patternFill>
          <fgColor indexed="64"/>
          <bgColor rgb="FF8DB4E2"/>
        </patternFill>
      </fill>
    </dxf>
    <dxf>
      <fill>
        <patternFill>
          <fgColor indexed="64"/>
          <bgColor rgb="FFBFBFBF"/>
        </patternFill>
      </fill>
    </dxf>
    <dxf>
      <fill>
        <patternFill>
          <fgColor indexed="64"/>
          <bgColor rgb="FFFABF8F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CCFF99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99CCFF"/>
        </patternFill>
      </fill>
    </dxf>
    <dxf>
      <fill>
        <patternFill>
          <fgColor indexed="64"/>
          <bgColor rgb="FFFFFF99"/>
        </patternFill>
      </fill>
    </dxf>
    <dxf>
      <fill>
        <patternFill>
          <fgColor indexed="64"/>
          <bgColor rgb="FFFF00FF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99CC"/>
        </patternFill>
      </fill>
    </dxf>
    <dxf>
      <fill>
        <patternFill>
          <fgColor indexed="64"/>
          <bgColor rgb="FFFF6600"/>
        </patternFill>
      </fill>
    </dxf>
    <dxf>
      <fill>
        <patternFill>
          <fgColor indexed="64"/>
          <bgColor rgb="FF8F940D"/>
        </patternFill>
      </fill>
    </dxf>
    <dxf>
      <fill>
        <patternFill>
          <fgColor indexed="64"/>
          <bgColor rgb="FFB2B2B2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FFFF99"/>
        </patternFill>
      </fill>
    </dxf>
    <dxf>
      <fill>
        <patternFill patternType="lightUp">
          <fgColor theme="1"/>
        </patternFill>
      </fill>
    </dxf>
    <dxf>
      <fill>
        <patternFill patternType="gray0625"/>
      </fill>
    </dxf>
    <dxf>
      <font>
        <color auto="1"/>
      </font>
      <fill>
        <patternFill>
          <fgColor indexed="64"/>
          <bgColor rgb="FFFFFF00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strike/>
      </font>
    </dxf>
    <dxf>
      <fill>
        <patternFill patternType="lightGray">
          <fgColor indexed="64"/>
          <bgColor rgb="FF3366FF"/>
        </patternFill>
      </fill>
    </dxf>
    <dxf>
      <fill>
        <patternFill patternType="lightGray">
          <fgColor indexed="64"/>
          <bgColor rgb="FFFFFF99"/>
        </patternFill>
      </fill>
    </dxf>
    <dxf>
      <fill>
        <patternFill patternType="mediumGray">
          <fgColor indexed="64"/>
        </patternFill>
      </fill>
    </dxf>
    <dxf>
      <fill>
        <patternFill>
          <fgColor indexed="64"/>
          <bgColor rgb="FFEAEAEA"/>
        </patternFill>
      </fill>
    </dxf>
    <dxf>
      <fill>
        <patternFill>
          <fgColor indexed="64"/>
          <bgColor rgb="FFCCFF99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fill>
        <patternFill>
          <bgColor rgb="FF99FF66"/>
        </patternFill>
      </fill>
    </dxf>
    <dxf>
      <fill>
        <patternFill>
          <bgColor rgb="FFFFFF66"/>
        </patternFill>
      </fill>
    </dxf>
    <dxf>
      <border>
        <right style="thin">
          <color auto="1"/>
        </righ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1060809</xdr:colOff>
      <xdr:row>6</xdr:row>
      <xdr:rowOff>117231</xdr:rowOff>
    </xdr:from>
    <xdr:to>
      <xdr:col>1</xdr:col>
      <xdr:colOff>2280008</xdr:colOff>
      <xdr:row>8</xdr:row>
      <xdr:rowOff>86048</xdr:rowOff>
    </xdr:to>
    <xdr:sp macro="[0]!main" textlink="">
      <xdr:nvSpPr>
        <xdr:cNvPr id="3" name="Pfeil nach rechts 2"/>
        <xdr:cNvSpPr/>
      </xdr:nvSpPr>
      <xdr:spPr>
        <a:xfrm>
          <a:off x="1699717" y="539262"/>
          <a:ext cx="1219199" cy="408432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/>
            <a:t>Click to Export</a:t>
          </a:r>
        </a:p>
      </xdr:txBody>
    </xdr:sp>
    <xdr:clientData/>
  </xdr:twoCellAnchor>
  <xdr:twoCellAnchor>
    <xdr:from>
      <xdr:col>2</xdr:col>
      <xdr:colOff>82059</xdr:colOff>
      <xdr:row>6</xdr:row>
      <xdr:rowOff>169986</xdr:rowOff>
    </xdr:from>
    <xdr:to>
      <xdr:col>4</xdr:col>
      <xdr:colOff>298938</xdr:colOff>
      <xdr:row>8</xdr:row>
      <xdr:rowOff>17585</xdr:rowOff>
    </xdr:to>
    <xdr:sp macro="" textlink="">
      <xdr:nvSpPr>
        <xdr:cNvPr id="2" name="Rechteck 1"/>
        <xdr:cNvSpPr/>
      </xdr:nvSpPr>
      <xdr:spPr>
        <a:xfrm>
          <a:off x="3059721" y="592017"/>
          <a:ext cx="1148863" cy="287214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chemeClr val="tx1"/>
              </a:solidFill>
            </a:rPr>
            <a:t>bereits</a:t>
          </a:r>
          <a:r>
            <a:rPr lang="de-CH" sz="900" b="1" baseline="0">
              <a:solidFill>
                <a:schemeClr val="tx1"/>
              </a:solidFill>
            </a:rPr>
            <a:t> exportiert</a:t>
          </a:r>
          <a:endParaRPr lang="de-CH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363406</xdr:colOff>
      <xdr:row>6</xdr:row>
      <xdr:rowOff>169986</xdr:rowOff>
    </xdr:from>
    <xdr:to>
      <xdr:col>1</xdr:col>
      <xdr:colOff>873361</xdr:colOff>
      <xdr:row>8</xdr:row>
      <xdr:rowOff>17585</xdr:rowOff>
    </xdr:to>
    <xdr:sp macro="" textlink="">
      <xdr:nvSpPr>
        <xdr:cNvPr id="5" name="Rechteck 4"/>
        <xdr:cNvSpPr/>
      </xdr:nvSpPr>
      <xdr:spPr>
        <a:xfrm>
          <a:off x="363406" y="592017"/>
          <a:ext cx="1148863" cy="287214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900" b="1">
              <a:solidFill>
                <a:schemeClr val="tx1"/>
              </a:solidFill>
            </a:rPr>
            <a:t>neuer</a:t>
          </a:r>
          <a:r>
            <a:rPr lang="de-CH" sz="900" b="1" baseline="0">
              <a:solidFill>
                <a:schemeClr val="tx1"/>
              </a:solidFill>
            </a:rPr>
            <a:t> Termin</a:t>
          </a:r>
          <a:endParaRPr lang="de-CH" sz="9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4"/>
  <dimension ref="A1:PK183"/>
  <sheetViews>
    <sheetView tabSelected="1" view="pageBreakPreview" zoomScale="115" zoomScaleNormal="130" zoomScaleSheetLayoutView="115" zoomScalePageLayoutView="70" workbookViewId="0">
      <pane ySplit="10" topLeftCell="A77" activePane="bottomLeft" state="frozen"/>
      <selection pane="bottomLeft" activeCell="B77" sqref="B77"/>
    </sheetView>
  </sheetViews>
  <sheetFormatPr defaultColWidth="4.33203125" defaultRowHeight="13.5" customHeight="1" outlineLevelCol="1" x14ac:dyDescent="0.2"/>
  <cols>
    <col min="1" max="1" width="9.33203125" style="16" customWidth="1"/>
    <col min="2" max="2" width="34.109375" style="16" customWidth="1"/>
    <col min="3" max="3" width="6.109375" style="16" customWidth="1"/>
    <col min="4" max="4" width="7.44140625" style="46" customWidth="1"/>
    <col min="5" max="5" width="11.88671875" style="17" customWidth="1"/>
    <col min="6" max="6" width="1.6640625" style="18" customWidth="1"/>
    <col min="7" max="12" width="4.6640625" style="19" customWidth="1"/>
    <col min="13" max="13" width="4.6640625" style="19" customWidth="1" outlineLevel="1"/>
    <col min="14" max="19" width="4.6640625" style="19" customWidth="1"/>
    <col min="20" max="20" width="4.6640625" style="19" customWidth="1" outlineLevel="1"/>
    <col min="21" max="26" width="4.6640625" style="19" customWidth="1"/>
    <col min="27" max="27" width="4.6640625" style="19" customWidth="1" outlineLevel="1"/>
    <col min="28" max="33" width="4.6640625" style="19" customWidth="1"/>
    <col min="34" max="34" width="4.6640625" style="19" customWidth="1" outlineLevel="1"/>
    <col min="35" max="40" width="4.6640625" style="19" customWidth="1"/>
    <col min="41" max="41" width="4.6640625" style="19" customWidth="1" outlineLevel="1"/>
    <col min="42" max="47" width="4.6640625" style="19" customWidth="1"/>
    <col min="48" max="48" width="4.6640625" style="19" customWidth="1" outlineLevel="1"/>
    <col min="49" max="54" width="4.6640625" style="19" customWidth="1"/>
    <col min="55" max="55" width="4.6640625" style="19" customWidth="1" outlineLevel="1"/>
    <col min="56" max="61" width="4.6640625" style="19" customWidth="1"/>
    <col min="62" max="62" width="4.6640625" style="19" customWidth="1" outlineLevel="1"/>
    <col min="63" max="68" width="4.6640625" style="19" customWidth="1"/>
    <col min="69" max="69" width="4.6640625" style="19" customWidth="1" outlineLevel="1"/>
    <col min="70" max="75" width="4.6640625" style="19" customWidth="1"/>
    <col min="76" max="76" width="4.6640625" style="19" customWidth="1" outlineLevel="1"/>
    <col min="77" max="82" width="4.6640625" style="19" customWidth="1"/>
    <col min="83" max="83" width="4.6640625" style="19" customWidth="1" outlineLevel="1"/>
    <col min="84" max="89" width="4.6640625" style="19" customWidth="1"/>
    <col min="90" max="90" width="4.6640625" style="19" customWidth="1" outlineLevel="1"/>
    <col min="91" max="96" width="4.6640625" style="19" customWidth="1"/>
    <col min="97" max="97" width="4.6640625" style="19" customWidth="1" outlineLevel="1"/>
    <col min="98" max="103" width="4.6640625" style="19" customWidth="1"/>
    <col min="104" max="104" width="4.6640625" style="19" customWidth="1" outlineLevel="1"/>
    <col min="105" max="110" width="4.6640625" style="19" customWidth="1"/>
    <col min="111" max="111" width="4.6640625" style="19" customWidth="1" outlineLevel="1"/>
    <col min="112" max="117" width="4.6640625" style="19" customWidth="1"/>
    <col min="118" max="118" width="4.6640625" style="19" customWidth="1" outlineLevel="1"/>
    <col min="119" max="124" width="4.6640625" style="19" customWidth="1"/>
    <col min="125" max="125" width="4.6640625" style="19" customWidth="1" outlineLevel="1"/>
    <col min="126" max="131" width="4.6640625" style="19" customWidth="1"/>
    <col min="132" max="132" width="4.6640625" style="19" customWidth="1" outlineLevel="1"/>
    <col min="133" max="138" width="4.6640625" style="19" customWidth="1"/>
    <col min="139" max="139" width="4.6640625" style="19" customWidth="1" outlineLevel="1"/>
    <col min="140" max="145" width="4.6640625" style="19" customWidth="1"/>
    <col min="146" max="146" width="4.6640625" style="19" customWidth="1" outlineLevel="1"/>
    <col min="147" max="152" width="4.6640625" style="19" customWidth="1"/>
    <col min="153" max="153" width="4.6640625" style="19" customWidth="1" outlineLevel="1"/>
    <col min="154" max="159" width="4.6640625" style="19" customWidth="1"/>
    <col min="160" max="160" width="4.6640625" style="19" customWidth="1" outlineLevel="1"/>
    <col min="161" max="166" width="4.6640625" style="19" customWidth="1"/>
    <col min="167" max="167" width="4.6640625" style="19" customWidth="1" outlineLevel="1"/>
    <col min="168" max="173" width="4.6640625" style="19" customWidth="1"/>
    <col min="174" max="174" width="4.6640625" style="19" customWidth="1" outlineLevel="1"/>
    <col min="175" max="180" width="4.6640625" style="19" customWidth="1"/>
    <col min="181" max="181" width="4.6640625" style="19" customWidth="1" outlineLevel="1"/>
    <col min="182" max="187" width="4.6640625" style="19" customWidth="1"/>
    <col min="188" max="188" width="4.6640625" style="19" customWidth="1" outlineLevel="1"/>
    <col min="189" max="194" width="4.6640625" style="19" customWidth="1"/>
    <col min="195" max="195" width="4.6640625" style="19" customWidth="1" outlineLevel="1"/>
    <col min="196" max="201" width="4.6640625" style="19" customWidth="1"/>
    <col min="202" max="202" width="4.6640625" style="19" customWidth="1" outlineLevel="1"/>
    <col min="203" max="208" width="4.6640625" style="19" customWidth="1"/>
    <col min="209" max="209" width="4.6640625" style="19" customWidth="1" outlineLevel="1"/>
    <col min="210" max="215" width="4.6640625" style="19" customWidth="1"/>
    <col min="216" max="216" width="4.6640625" style="19" customWidth="1" outlineLevel="1"/>
    <col min="217" max="222" width="4.6640625" style="19" customWidth="1"/>
    <col min="223" max="223" width="4.6640625" style="19" customWidth="1" outlineLevel="1"/>
    <col min="224" max="229" width="4.6640625" style="19" customWidth="1"/>
    <col min="230" max="230" width="4.6640625" style="19" customWidth="1" outlineLevel="1"/>
    <col min="231" max="236" width="4.6640625" style="19" customWidth="1"/>
    <col min="237" max="237" width="4.6640625" style="19" customWidth="1" outlineLevel="1"/>
    <col min="238" max="243" width="4.6640625" style="19" customWidth="1"/>
    <col min="244" max="244" width="4.6640625" style="19" customWidth="1" outlineLevel="1"/>
    <col min="245" max="250" width="4.6640625" style="19" customWidth="1"/>
    <col min="251" max="251" width="4.6640625" style="19" customWidth="1" outlineLevel="1"/>
    <col min="252" max="257" width="4.6640625" style="19" customWidth="1"/>
    <col min="258" max="258" width="4.6640625" style="19" customWidth="1" outlineLevel="1"/>
    <col min="259" max="264" width="4.6640625" style="19" customWidth="1"/>
    <col min="265" max="265" width="4.6640625" style="19" customWidth="1" outlineLevel="1"/>
    <col min="266" max="271" width="4.6640625" style="19" customWidth="1"/>
    <col min="272" max="272" width="4.6640625" style="19" customWidth="1" outlineLevel="1"/>
    <col min="273" max="278" width="4.6640625" style="19" customWidth="1"/>
    <col min="279" max="279" width="4.6640625" style="19" customWidth="1" outlineLevel="1"/>
    <col min="280" max="285" width="4.6640625" style="19" customWidth="1"/>
    <col min="286" max="286" width="4.6640625" style="19" customWidth="1" outlineLevel="1"/>
    <col min="287" max="292" width="4.6640625" style="19" customWidth="1"/>
    <col min="293" max="293" width="4.6640625" style="19" customWidth="1" outlineLevel="1"/>
    <col min="294" max="299" width="4.6640625" style="19" customWidth="1"/>
    <col min="300" max="300" width="4.6640625" style="19" customWidth="1" outlineLevel="1"/>
    <col min="301" max="306" width="4.6640625" style="19" customWidth="1"/>
    <col min="307" max="307" width="4.6640625" style="19" customWidth="1" outlineLevel="1"/>
    <col min="308" max="313" width="4.6640625" style="19" customWidth="1"/>
    <col min="314" max="314" width="4.6640625" style="19" customWidth="1" outlineLevel="1"/>
    <col min="315" max="320" width="4.6640625" style="19" customWidth="1"/>
    <col min="321" max="321" width="4.6640625" style="19" customWidth="1" outlineLevel="1"/>
    <col min="322" max="327" width="4.6640625" style="19" customWidth="1"/>
    <col min="328" max="328" width="4.6640625" style="19" customWidth="1" outlineLevel="1"/>
    <col min="329" max="334" width="4.6640625" style="19" customWidth="1"/>
    <col min="335" max="335" width="4.6640625" style="19" customWidth="1" outlineLevel="1"/>
    <col min="336" max="341" width="4.6640625" style="19" customWidth="1"/>
    <col min="342" max="342" width="4.6640625" style="19" customWidth="1" outlineLevel="1"/>
    <col min="343" max="348" width="4.6640625" style="19" customWidth="1"/>
    <col min="349" max="349" width="4.6640625" style="19" customWidth="1" outlineLevel="1"/>
    <col min="350" max="355" width="4.6640625" style="19" customWidth="1"/>
    <col min="356" max="356" width="4.6640625" style="19" customWidth="1" outlineLevel="1"/>
    <col min="357" max="362" width="4.6640625" style="19" customWidth="1"/>
    <col min="363" max="363" width="4.6640625" style="19" customWidth="1" outlineLevel="1"/>
    <col min="364" max="369" width="4.6640625" style="19" customWidth="1"/>
    <col min="370" max="370" width="4.6640625" style="19" customWidth="1" outlineLevel="1"/>
    <col min="371" max="374" width="4.6640625" style="19" hidden="1" customWidth="1"/>
    <col min="375" max="400" width="0" style="18" hidden="1" customWidth="1"/>
    <col min="401" max="401" width="0" style="19" hidden="1" customWidth="1"/>
    <col min="402" max="412" width="0" style="18" hidden="1" customWidth="1"/>
    <col min="413" max="436" width="0" style="20" hidden="1" customWidth="1"/>
    <col min="437" max="16384" width="4.33203125" style="20"/>
  </cols>
  <sheetData>
    <row r="1" spans="1:427" s="5" customFormat="1" ht="33" hidden="1" customHeight="1" x14ac:dyDescent="0.25">
      <c r="A1" s="1"/>
      <c r="B1" s="1"/>
      <c r="C1" s="1"/>
      <c r="D1" s="42"/>
      <c r="E1" s="2"/>
      <c r="F1" s="3">
        <v>2018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</row>
    <row r="2" spans="1:427" s="5" customFormat="1" ht="33" hidden="1" customHeight="1" x14ac:dyDescent="0.25">
      <c r="A2" s="1"/>
      <c r="B2" s="1"/>
      <c r="C2" s="1"/>
      <c r="D2" s="42"/>
      <c r="E2" s="2"/>
      <c r="F2" s="3">
        <v>1</v>
      </c>
      <c r="G2" s="4"/>
      <c r="H2" s="4"/>
      <c r="I2" s="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</row>
    <row r="3" spans="1:427" s="5" customFormat="1" ht="33" hidden="1" customHeight="1" x14ac:dyDescent="0.25">
      <c r="A3" s="1"/>
      <c r="B3" s="1"/>
      <c r="C3" s="1"/>
      <c r="D3" s="42"/>
      <c r="E3" s="2"/>
      <c r="F3" s="3">
        <v>1</v>
      </c>
      <c r="G3" s="7">
        <v>43101</v>
      </c>
      <c r="H3" s="7">
        <v>43102</v>
      </c>
      <c r="I3" s="7">
        <v>43103</v>
      </c>
      <c r="J3" s="7">
        <v>43104</v>
      </c>
      <c r="K3" s="7">
        <v>43105</v>
      </c>
      <c r="L3" s="7">
        <v>43106</v>
      </c>
      <c r="M3" s="7">
        <v>43107</v>
      </c>
      <c r="N3" s="7">
        <v>43108</v>
      </c>
      <c r="O3" s="7">
        <v>43109</v>
      </c>
      <c r="P3" s="7">
        <v>43110</v>
      </c>
      <c r="Q3" s="7">
        <v>43111</v>
      </c>
      <c r="R3" s="7">
        <v>43112</v>
      </c>
      <c r="S3" s="7">
        <v>43113</v>
      </c>
      <c r="T3" s="7">
        <v>43114</v>
      </c>
      <c r="U3" s="7">
        <v>43115</v>
      </c>
      <c r="V3" s="7">
        <v>43116</v>
      </c>
      <c r="W3" s="7">
        <v>43117</v>
      </c>
      <c r="X3" s="7">
        <v>43118</v>
      </c>
      <c r="Y3" s="7">
        <v>43119</v>
      </c>
      <c r="Z3" s="7">
        <v>43120</v>
      </c>
      <c r="AA3" s="7">
        <v>43121</v>
      </c>
      <c r="AB3" s="7">
        <v>43122</v>
      </c>
      <c r="AC3" s="7">
        <v>43123</v>
      </c>
      <c r="AD3" s="7">
        <v>43124</v>
      </c>
      <c r="AE3" s="7">
        <v>43125</v>
      </c>
      <c r="AF3" s="7">
        <v>43126</v>
      </c>
      <c r="AG3" s="7">
        <v>43127</v>
      </c>
      <c r="AH3" s="7">
        <v>43128</v>
      </c>
      <c r="AI3" s="7">
        <v>43129</v>
      </c>
      <c r="AJ3" s="7">
        <v>43130</v>
      </c>
      <c r="AK3" s="7">
        <v>43131</v>
      </c>
      <c r="AL3" s="7">
        <v>43132</v>
      </c>
      <c r="AM3" s="7">
        <v>43133</v>
      </c>
      <c r="AN3" s="7">
        <v>43134</v>
      </c>
      <c r="AO3" s="7">
        <v>43135</v>
      </c>
      <c r="AP3" s="7">
        <v>43136</v>
      </c>
      <c r="AQ3" s="7">
        <v>43137</v>
      </c>
      <c r="AR3" s="7">
        <v>43138</v>
      </c>
      <c r="AS3" s="7">
        <v>43139</v>
      </c>
      <c r="AT3" s="7">
        <v>43140</v>
      </c>
      <c r="AU3" s="7">
        <v>43141</v>
      </c>
      <c r="AV3" s="7">
        <v>43142</v>
      </c>
      <c r="AW3" s="7">
        <v>43143</v>
      </c>
      <c r="AX3" s="7">
        <v>43144</v>
      </c>
      <c r="AY3" s="7">
        <v>43145</v>
      </c>
      <c r="AZ3" s="7">
        <v>43146</v>
      </c>
      <c r="BA3" s="7">
        <v>43147</v>
      </c>
      <c r="BB3" s="7">
        <v>43148</v>
      </c>
      <c r="BC3" s="7">
        <v>43149</v>
      </c>
      <c r="BD3" s="7">
        <v>43150</v>
      </c>
      <c r="BE3" s="7">
        <v>43151</v>
      </c>
      <c r="BF3" s="7">
        <v>43152</v>
      </c>
      <c r="BG3" s="7">
        <v>43153</v>
      </c>
      <c r="BH3" s="7">
        <v>43154</v>
      </c>
      <c r="BI3" s="7">
        <v>43155</v>
      </c>
      <c r="BJ3" s="7">
        <v>43156</v>
      </c>
      <c r="BK3" s="7">
        <v>43157</v>
      </c>
      <c r="BL3" s="7">
        <v>43158</v>
      </c>
      <c r="BM3" s="7">
        <v>43159</v>
      </c>
      <c r="BN3" s="7">
        <v>43160</v>
      </c>
      <c r="BO3" s="7">
        <v>43161</v>
      </c>
      <c r="BP3" s="7">
        <v>43162</v>
      </c>
      <c r="BQ3" s="7">
        <v>43163</v>
      </c>
      <c r="BR3" s="7">
        <v>43164</v>
      </c>
      <c r="BS3" s="7">
        <v>43165</v>
      </c>
      <c r="BT3" s="7">
        <v>43166</v>
      </c>
      <c r="BU3" s="7">
        <v>43167</v>
      </c>
      <c r="BV3" s="7">
        <v>43168</v>
      </c>
      <c r="BW3" s="7">
        <v>43169</v>
      </c>
      <c r="BX3" s="7">
        <v>43170</v>
      </c>
      <c r="BY3" s="7">
        <v>43171</v>
      </c>
      <c r="BZ3" s="7">
        <v>43172</v>
      </c>
      <c r="CA3" s="7">
        <v>43173</v>
      </c>
      <c r="CB3" s="7">
        <v>43174</v>
      </c>
      <c r="CC3" s="7">
        <v>43175</v>
      </c>
      <c r="CD3" s="7">
        <v>43176</v>
      </c>
      <c r="CE3" s="7">
        <v>43177</v>
      </c>
      <c r="CF3" s="7">
        <v>43178</v>
      </c>
      <c r="CG3" s="7">
        <v>43179</v>
      </c>
      <c r="CH3" s="7">
        <v>43180</v>
      </c>
      <c r="CI3" s="7">
        <v>43181</v>
      </c>
      <c r="CJ3" s="7">
        <v>43182</v>
      </c>
      <c r="CK3" s="7">
        <v>43183</v>
      </c>
      <c r="CL3" s="7">
        <v>43184</v>
      </c>
      <c r="CM3" s="7">
        <v>43185</v>
      </c>
      <c r="CN3" s="7">
        <v>43186</v>
      </c>
      <c r="CO3" s="7">
        <v>43187</v>
      </c>
      <c r="CP3" s="7">
        <v>43188</v>
      </c>
      <c r="CQ3" s="7">
        <v>43189</v>
      </c>
      <c r="CR3" s="7">
        <v>43190</v>
      </c>
      <c r="CS3" s="7">
        <v>43191</v>
      </c>
      <c r="CT3" s="7">
        <v>43192</v>
      </c>
      <c r="CU3" s="7">
        <v>43193</v>
      </c>
      <c r="CV3" s="7">
        <v>43194</v>
      </c>
      <c r="CW3" s="7">
        <v>43195</v>
      </c>
      <c r="CX3" s="7">
        <v>43196</v>
      </c>
      <c r="CY3" s="7">
        <v>43197</v>
      </c>
      <c r="CZ3" s="7">
        <v>43198</v>
      </c>
      <c r="DA3" s="7">
        <v>43199</v>
      </c>
      <c r="DB3" s="7">
        <v>43200</v>
      </c>
      <c r="DC3" s="7">
        <v>43201</v>
      </c>
      <c r="DD3" s="7">
        <v>43202</v>
      </c>
      <c r="DE3" s="7">
        <v>43203</v>
      </c>
      <c r="DF3" s="7">
        <v>43204</v>
      </c>
      <c r="DG3" s="7">
        <v>43205</v>
      </c>
      <c r="DH3" s="7">
        <v>43206</v>
      </c>
      <c r="DI3" s="7">
        <v>43207</v>
      </c>
      <c r="DJ3" s="7">
        <v>43208</v>
      </c>
      <c r="DK3" s="7">
        <v>43209</v>
      </c>
      <c r="DL3" s="7">
        <v>43210</v>
      </c>
      <c r="DM3" s="7">
        <v>43211</v>
      </c>
      <c r="DN3" s="7">
        <v>43212</v>
      </c>
      <c r="DO3" s="7">
        <v>43213</v>
      </c>
      <c r="DP3" s="7">
        <v>43214</v>
      </c>
      <c r="DQ3" s="7">
        <v>43215</v>
      </c>
      <c r="DR3" s="7">
        <v>43216</v>
      </c>
      <c r="DS3" s="7">
        <v>43217</v>
      </c>
      <c r="DT3" s="7">
        <v>43218</v>
      </c>
      <c r="DU3" s="7">
        <v>43219</v>
      </c>
      <c r="DV3" s="7">
        <v>43220</v>
      </c>
      <c r="DW3" s="7">
        <v>43221</v>
      </c>
      <c r="DX3" s="7">
        <v>43222</v>
      </c>
      <c r="DY3" s="7">
        <v>43223</v>
      </c>
      <c r="DZ3" s="7">
        <v>43224</v>
      </c>
      <c r="EA3" s="7">
        <v>43225</v>
      </c>
      <c r="EB3" s="7">
        <v>43226</v>
      </c>
      <c r="EC3" s="7">
        <v>43227</v>
      </c>
      <c r="ED3" s="7">
        <v>43228</v>
      </c>
      <c r="EE3" s="7">
        <v>43229</v>
      </c>
      <c r="EF3" s="7">
        <v>43230</v>
      </c>
      <c r="EG3" s="7">
        <v>43231</v>
      </c>
      <c r="EH3" s="7">
        <v>43232</v>
      </c>
      <c r="EI3" s="7">
        <v>43233</v>
      </c>
      <c r="EJ3" s="7">
        <v>43234</v>
      </c>
      <c r="EK3" s="7">
        <v>43235</v>
      </c>
      <c r="EL3" s="7">
        <v>43236</v>
      </c>
      <c r="EM3" s="7">
        <v>43237</v>
      </c>
      <c r="EN3" s="7">
        <v>43238</v>
      </c>
      <c r="EO3" s="7">
        <v>43239</v>
      </c>
      <c r="EP3" s="7">
        <v>43240</v>
      </c>
      <c r="EQ3" s="7">
        <v>43241</v>
      </c>
      <c r="ER3" s="7">
        <v>43242</v>
      </c>
      <c r="ES3" s="7">
        <v>43243</v>
      </c>
      <c r="ET3" s="7">
        <v>43244</v>
      </c>
      <c r="EU3" s="7">
        <v>43245</v>
      </c>
      <c r="EV3" s="7">
        <v>43246</v>
      </c>
      <c r="EW3" s="7">
        <v>43247</v>
      </c>
      <c r="EX3" s="7">
        <v>43248</v>
      </c>
      <c r="EY3" s="7">
        <v>43249</v>
      </c>
      <c r="EZ3" s="7">
        <v>43250</v>
      </c>
      <c r="FA3" s="7">
        <v>43251</v>
      </c>
      <c r="FB3" s="7">
        <v>43252</v>
      </c>
      <c r="FC3" s="7">
        <v>43253</v>
      </c>
      <c r="FD3" s="7">
        <v>43254</v>
      </c>
      <c r="FE3" s="7">
        <v>43255</v>
      </c>
      <c r="FF3" s="7">
        <v>43256</v>
      </c>
      <c r="FG3" s="7">
        <v>43257</v>
      </c>
      <c r="FH3" s="7">
        <v>43258</v>
      </c>
      <c r="FI3" s="7">
        <v>43259</v>
      </c>
      <c r="FJ3" s="7">
        <v>43260</v>
      </c>
      <c r="FK3" s="7">
        <v>43261</v>
      </c>
      <c r="FL3" s="7">
        <v>43262</v>
      </c>
      <c r="FM3" s="7">
        <v>43263</v>
      </c>
      <c r="FN3" s="7">
        <v>43264</v>
      </c>
      <c r="FO3" s="7">
        <v>43265</v>
      </c>
      <c r="FP3" s="7">
        <v>43266</v>
      </c>
      <c r="FQ3" s="7">
        <v>43267</v>
      </c>
      <c r="FR3" s="7">
        <v>43268</v>
      </c>
      <c r="FS3" s="7">
        <v>43269</v>
      </c>
      <c r="FT3" s="7">
        <v>43270</v>
      </c>
      <c r="FU3" s="7">
        <v>43271</v>
      </c>
      <c r="FV3" s="7">
        <v>43272</v>
      </c>
      <c r="FW3" s="7">
        <v>43273</v>
      </c>
      <c r="FX3" s="7">
        <v>43274</v>
      </c>
      <c r="FY3" s="7">
        <v>43275</v>
      </c>
      <c r="FZ3" s="7">
        <v>43276</v>
      </c>
      <c r="GA3" s="7">
        <v>43277</v>
      </c>
      <c r="GB3" s="7">
        <v>43278</v>
      </c>
      <c r="GC3" s="7">
        <v>43279</v>
      </c>
      <c r="GD3" s="7">
        <v>43280</v>
      </c>
      <c r="GE3" s="7">
        <v>43281</v>
      </c>
      <c r="GF3" s="7">
        <v>43282</v>
      </c>
      <c r="GG3" s="7">
        <v>43283</v>
      </c>
      <c r="GH3" s="7">
        <v>43284</v>
      </c>
      <c r="GI3" s="7">
        <v>43285</v>
      </c>
      <c r="GJ3" s="7">
        <v>43286</v>
      </c>
      <c r="GK3" s="7">
        <v>43287</v>
      </c>
      <c r="GL3" s="7">
        <v>43288</v>
      </c>
      <c r="GM3" s="7">
        <v>43289</v>
      </c>
      <c r="GN3" s="7">
        <v>43290</v>
      </c>
      <c r="GO3" s="7">
        <v>43291</v>
      </c>
      <c r="GP3" s="7">
        <v>43292</v>
      </c>
      <c r="GQ3" s="7">
        <v>43293</v>
      </c>
      <c r="GR3" s="7">
        <v>43294</v>
      </c>
      <c r="GS3" s="7">
        <v>43295</v>
      </c>
      <c r="GT3" s="7">
        <v>43296</v>
      </c>
      <c r="GU3" s="7">
        <v>43297</v>
      </c>
      <c r="GV3" s="7">
        <v>43298</v>
      </c>
      <c r="GW3" s="7">
        <v>43299</v>
      </c>
      <c r="GX3" s="7">
        <v>43300</v>
      </c>
      <c r="GY3" s="7">
        <v>43301</v>
      </c>
      <c r="GZ3" s="7">
        <v>43302</v>
      </c>
      <c r="HA3" s="7">
        <v>43303</v>
      </c>
      <c r="HB3" s="7">
        <v>43304</v>
      </c>
      <c r="HC3" s="7">
        <v>43305</v>
      </c>
      <c r="HD3" s="7">
        <v>43306</v>
      </c>
      <c r="HE3" s="7">
        <v>43307</v>
      </c>
      <c r="HF3" s="7">
        <v>43308</v>
      </c>
      <c r="HG3" s="7">
        <v>43309</v>
      </c>
      <c r="HH3" s="7">
        <v>43310</v>
      </c>
      <c r="HI3" s="7">
        <v>43311</v>
      </c>
      <c r="HJ3" s="7">
        <v>43312</v>
      </c>
      <c r="HK3" s="7">
        <v>43313</v>
      </c>
      <c r="HL3" s="7">
        <v>43314</v>
      </c>
      <c r="HM3" s="7">
        <v>43315</v>
      </c>
      <c r="HN3" s="7">
        <v>43316</v>
      </c>
      <c r="HO3" s="7">
        <v>43317</v>
      </c>
      <c r="HP3" s="7">
        <v>43318</v>
      </c>
      <c r="HQ3" s="7">
        <v>43319</v>
      </c>
      <c r="HR3" s="7">
        <v>43320</v>
      </c>
      <c r="HS3" s="7">
        <v>43321</v>
      </c>
      <c r="HT3" s="7">
        <v>43322</v>
      </c>
      <c r="HU3" s="7">
        <v>43323</v>
      </c>
      <c r="HV3" s="7">
        <v>43324</v>
      </c>
      <c r="HW3" s="7">
        <v>43325</v>
      </c>
      <c r="HX3" s="7">
        <v>43326</v>
      </c>
      <c r="HY3" s="7">
        <v>43327</v>
      </c>
      <c r="HZ3" s="7">
        <v>43328</v>
      </c>
      <c r="IA3" s="7">
        <v>43329</v>
      </c>
      <c r="IB3" s="7">
        <v>43330</v>
      </c>
      <c r="IC3" s="7">
        <v>43331</v>
      </c>
      <c r="ID3" s="7">
        <v>43332</v>
      </c>
      <c r="IE3" s="7">
        <v>43333</v>
      </c>
      <c r="IF3" s="7">
        <v>43334</v>
      </c>
      <c r="IG3" s="7">
        <v>43335</v>
      </c>
      <c r="IH3" s="7">
        <v>43336</v>
      </c>
      <c r="II3" s="7">
        <v>43337</v>
      </c>
      <c r="IJ3" s="7">
        <v>43338</v>
      </c>
      <c r="IK3" s="7">
        <v>43339</v>
      </c>
      <c r="IL3" s="7">
        <v>43340</v>
      </c>
      <c r="IM3" s="7">
        <v>43341</v>
      </c>
      <c r="IN3" s="7">
        <v>43342</v>
      </c>
      <c r="IO3" s="7">
        <v>43343</v>
      </c>
      <c r="IP3" s="7">
        <v>43344</v>
      </c>
      <c r="IQ3" s="7">
        <v>43345</v>
      </c>
      <c r="IR3" s="7">
        <v>43346</v>
      </c>
      <c r="IS3" s="7">
        <v>43347</v>
      </c>
      <c r="IT3" s="7">
        <v>43348</v>
      </c>
      <c r="IU3" s="7">
        <v>43349</v>
      </c>
      <c r="IV3" s="7">
        <v>43350</v>
      </c>
      <c r="IW3" s="7">
        <v>43351</v>
      </c>
      <c r="IX3" s="7">
        <v>43352</v>
      </c>
      <c r="IY3" s="7">
        <v>43353</v>
      </c>
      <c r="IZ3" s="7">
        <v>43354</v>
      </c>
      <c r="JA3" s="7">
        <v>43355</v>
      </c>
      <c r="JB3" s="7">
        <v>43356</v>
      </c>
      <c r="JC3" s="7">
        <v>43357</v>
      </c>
      <c r="JD3" s="7">
        <v>43358</v>
      </c>
      <c r="JE3" s="7">
        <v>43359</v>
      </c>
      <c r="JF3" s="7">
        <v>43360</v>
      </c>
      <c r="JG3" s="7">
        <v>43361</v>
      </c>
      <c r="JH3" s="7">
        <v>43362</v>
      </c>
      <c r="JI3" s="7">
        <v>43363</v>
      </c>
      <c r="JJ3" s="7">
        <v>43364</v>
      </c>
      <c r="JK3" s="7">
        <v>43365</v>
      </c>
      <c r="JL3" s="7">
        <v>43366</v>
      </c>
      <c r="JM3" s="7">
        <v>43367</v>
      </c>
      <c r="JN3" s="7">
        <v>43368</v>
      </c>
      <c r="JO3" s="7">
        <v>43369</v>
      </c>
      <c r="JP3" s="7">
        <v>43370</v>
      </c>
      <c r="JQ3" s="7">
        <v>43371</v>
      </c>
      <c r="JR3" s="7">
        <v>43372</v>
      </c>
      <c r="JS3" s="7">
        <v>43373</v>
      </c>
      <c r="JT3" s="7">
        <v>43374</v>
      </c>
      <c r="JU3" s="7">
        <v>43375</v>
      </c>
      <c r="JV3" s="7">
        <v>43376</v>
      </c>
      <c r="JW3" s="7">
        <v>43377</v>
      </c>
      <c r="JX3" s="7">
        <v>43378</v>
      </c>
      <c r="JY3" s="7">
        <v>43379</v>
      </c>
      <c r="JZ3" s="7">
        <v>43380</v>
      </c>
      <c r="KA3" s="7">
        <v>43381</v>
      </c>
      <c r="KB3" s="7">
        <v>43382</v>
      </c>
      <c r="KC3" s="7">
        <v>43383</v>
      </c>
      <c r="KD3" s="7">
        <v>43384</v>
      </c>
      <c r="KE3" s="7">
        <v>43385</v>
      </c>
      <c r="KF3" s="7">
        <v>43386</v>
      </c>
      <c r="KG3" s="7">
        <v>43387</v>
      </c>
      <c r="KH3" s="7">
        <v>43388</v>
      </c>
      <c r="KI3" s="7">
        <v>43389</v>
      </c>
      <c r="KJ3" s="7">
        <v>43390</v>
      </c>
      <c r="KK3" s="7">
        <v>43391</v>
      </c>
      <c r="KL3" s="7">
        <v>43392</v>
      </c>
      <c r="KM3" s="7">
        <v>43393</v>
      </c>
      <c r="KN3" s="7">
        <v>43394</v>
      </c>
      <c r="KO3" s="7">
        <v>43395</v>
      </c>
      <c r="KP3" s="7">
        <v>43396</v>
      </c>
      <c r="KQ3" s="7">
        <v>43397</v>
      </c>
      <c r="KR3" s="7">
        <v>43398</v>
      </c>
      <c r="KS3" s="7">
        <v>43399</v>
      </c>
      <c r="KT3" s="7">
        <v>43400</v>
      </c>
      <c r="KU3" s="7">
        <v>43401</v>
      </c>
      <c r="KV3" s="7">
        <v>43402</v>
      </c>
      <c r="KW3" s="7">
        <v>43403</v>
      </c>
      <c r="KX3" s="7">
        <v>43404</v>
      </c>
      <c r="KY3" s="7">
        <v>43405</v>
      </c>
      <c r="KZ3" s="7">
        <v>43406</v>
      </c>
      <c r="LA3" s="7">
        <v>43407</v>
      </c>
      <c r="LB3" s="7">
        <v>43408</v>
      </c>
      <c r="LC3" s="7">
        <v>43409</v>
      </c>
      <c r="LD3" s="7">
        <v>43410</v>
      </c>
      <c r="LE3" s="7">
        <v>43411</v>
      </c>
      <c r="LF3" s="7">
        <v>43412</v>
      </c>
      <c r="LG3" s="7">
        <v>43413</v>
      </c>
      <c r="LH3" s="7">
        <v>43414</v>
      </c>
      <c r="LI3" s="7">
        <v>43415</v>
      </c>
      <c r="LJ3" s="7">
        <v>43416</v>
      </c>
      <c r="LK3" s="7">
        <v>43417</v>
      </c>
      <c r="LL3" s="7">
        <v>43418</v>
      </c>
      <c r="LM3" s="7">
        <v>43419</v>
      </c>
      <c r="LN3" s="7">
        <v>43420</v>
      </c>
      <c r="LO3" s="7">
        <v>43421</v>
      </c>
      <c r="LP3" s="7">
        <v>43422</v>
      </c>
      <c r="LQ3" s="7">
        <v>43423</v>
      </c>
      <c r="LR3" s="7">
        <v>43424</v>
      </c>
      <c r="LS3" s="7">
        <v>43425</v>
      </c>
      <c r="LT3" s="7">
        <v>43426</v>
      </c>
      <c r="LU3" s="7">
        <v>43427</v>
      </c>
      <c r="LV3" s="7">
        <v>43428</v>
      </c>
      <c r="LW3" s="7">
        <v>43429</v>
      </c>
      <c r="LX3" s="7">
        <v>43430</v>
      </c>
      <c r="LY3" s="7">
        <v>43431</v>
      </c>
      <c r="LZ3" s="7">
        <v>43432</v>
      </c>
      <c r="MA3" s="7">
        <v>43433</v>
      </c>
      <c r="MB3" s="7">
        <v>43434</v>
      </c>
      <c r="MC3" s="7">
        <v>43435</v>
      </c>
      <c r="MD3" s="7">
        <v>43436</v>
      </c>
      <c r="ME3" s="7">
        <v>43437</v>
      </c>
      <c r="MF3" s="7">
        <v>43438</v>
      </c>
      <c r="MG3" s="7">
        <v>43439</v>
      </c>
      <c r="MH3" s="7">
        <v>43440</v>
      </c>
      <c r="MI3" s="7">
        <v>43441</v>
      </c>
      <c r="MJ3" s="7">
        <v>43442</v>
      </c>
      <c r="MK3" s="7">
        <v>43443</v>
      </c>
      <c r="ML3" s="7">
        <v>43444</v>
      </c>
      <c r="MM3" s="7">
        <v>43445</v>
      </c>
      <c r="MN3" s="7">
        <v>43446</v>
      </c>
      <c r="MO3" s="7">
        <v>43447</v>
      </c>
      <c r="MP3" s="7">
        <v>43448</v>
      </c>
      <c r="MQ3" s="7">
        <v>43449</v>
      </c>
      <c r="MR3" s="7">
        <v>43450</v>
      </c>
      <c r="MS3" s="7">
        <v>43451</v>
      </c>
      <c r="MT3" s="7">
        <v>43452</v>
      </c>
      <c r="MU3" s="7">
        <v>43453</v>
      </c>
      <c r="MV3" s="7">
        <v>43454</v>
      </c>
      <c r="MW3" s="7">
        <v>43455</v>
      </c>
      <c r="MX3" s="7">
        <v>43456</v>
      </c>
      <c r="MY3" s="7">
        <v>43457</v>
      </c>
      <c r="MZ3" s="7">
        <v>43458</v>
      </c>
      <c r="NA3" s="7">
        <v>43459</v>
      </c>
      <c r="NB3" s="7">
        <v>43460</v>
      </c>
      <c r="NC3" s="7">
        <v>43461</v>
      </c>
      <c r="ND3" s="7">
        <v>43462</v>
      </c>
      <c r="NE3" s="7">
        <v>43463</v>
      </c>
      <c r="NF3" s="7">
        <v>43464</v>
      </c>
      <c r="NG3" s="7">
        <v>43465</v>
      </c>
      <c r="NH3" s="7">
        <v>43466</v>
      </c>
      <c r="NI3" s="7">
        <v>43467</v>
      </c>
      <c r="NJ3" s="7">
        <v>43468</v>
      </c>
    </row>
    <row r="4" spans="1:427" s="5" customFormat="1" ht="33" hidden="1" customHeight="1" x14ac:dyDescent="0.25">
      <c r="A4" s="1"/>
      <c r="B4" s="1"/>
      <c r="C4" s="1"/>
      <c r="D4" s="42"/>
      <c r="E4" s="2"/>
      <c r="F4" s="8">
        <v>52</v>
      </c>
      <c r="G4" s="9">
        <v>1</v>
      </c>
      <c r="H4" s="9">
        <v>2</v>
      </c>
      <c r="I4" s="9">
        <v>3</v>
      </c>
      <c r="J4" s="9">
        <v>4</v>
      </c>
      <c r="K4" s="9">
        <v>5</v>
      </c>
      <c r="L4" s="9">
        <v>6</v>
      </c>
      <c r="M4" s="9">
        <v>7</v>
      </c>
      <c r="N4" s="9">
        <v>1</v>
      </c>
      <c r="O4" s="9">
        <v>2</v>
      </c>
      <c r="P4" s="9">
        <v>3</v>
      </c>
      <c r="Q4" s="9">
        <v>4</v>
      </c>
      <c r="R4" s="9">
        <v>5</v>
      </c>
      <c r="S4" s="9">
        <v>6</v>
      </c>
      <c r="T4" s="9">
        <v>7</v>
      </c>
      <c r="U4" s="9">
        <v>1</v>
      </c>
      <c r="V4" s="9">
        <v>2</v>
      </c>
      <c r="W4" s="9">
        <v>3</v>
      </c>
      <c r="X4" s="9">
        <v>4</v>
      </c>
      <c r="Y4" s="9">
        <v>5</v>
      </c>
      <c r="Z4" s="9">
        <v>6</v>
      </c>
      <c r="AA4" s="9">
        <v>7</v>
      </c>
      <c r="AB4" s="9">
        <v>1</v>
      </c>
      <c r="AC4" s="9">
        <v>2</v>
      </c>
      <c r="AD4" s="9">
        <v>3</v>
      </c>
      <c r="AE4" s="9">
        <v>4</v>
      </c>
      <c r="AF4" s="9">
        <v>5</v>
      </c>
      <c r="AG4" s="9">
        <v>6</v>
      </c>
      <c r="AH4" s="9">
        <v>7</v>
      </c>
      <c r="AI4" s="9">
        <v>1</v>
      </c>
      <c r="AJ4" s="9">
        <v>2</v>
      </c>
      <c r="AK4" s="9">
        <v>3</v>
      </c>
      <c r="AL4" s="9">
        <v>4</v>
      </c>
      <c r="AM4" s="9">
        <v>5</v>
      </c>
      <c r="AN4" s="9">
        <v>6</v>
      </c>
      <c r="AO4" s="9">
        <v>7</v>
      </c>
      <c r="AP4" s="9">
        <v>1</v>
      </c>
      <c r="AQ4" s="9">
        <v>2</v>
      </c>
      <c r="AR4" s="9">
        <v>3</v>
      </c>
      <c r="AS4" s="9">
        <v>4</v>
      </c>
      <c r="AT4" s="9">
        <v>5</v>
      </c>
      <c r="AU4" s="9">
        <v>6</v>
      </c>
      <c r="AV4" s="9">
        <v>7</v>
      </c>
      <c r="AW4" s="9">
        <v>1</v>
      </c>
      <c r="AX4" s="9">
        <v>2</v>
      </c>
      <c r="AY4" s="9">
        <v>3</v>
      </c>
      <c r="AZ4" s="9">
        <v>4</v>
      </c>
      <c r="BA4" s="9">
        <v>5</v>
      </c>
      <c r="BB4" s="9">
        <v>6</v>
      </c>
      <c r="BC4" s="9">
        <v>7</v>
      </c>
      <c r="BD4" s="9">
        <v>1</v>
      </c>
      <c r="BE4" s="9">
        <v>2</v>
      </c>
      <c r="BF4" s="9">
        <v>3</v>
      </c>
      <c r="BG4" s="9">
        <v>4</v>
      </c>
      <c r="BH4" s="9">
        <v>5</v>
      </c>
      <c r="BI4" s="9">
        <v>6</v>
      </c>
      <c r="BJ4" s="9">
        <v>7</v>
      </c>
      <c r="BK4" s="9">
        <v>1</v>
      </c>
      <c r="BL4" s="9">
        <v>2</v>
      </c>
      <c r="BM4" s="9">
        <v>3</v>
      </c>
      <c r="BN4" s="9">
        <v>4</v>
      </c>
      <c r="BO4" s="9">
        <v>5</v>
      </c>
      <c r="BP4" s="9">
        <v>6</v>
      </c>
      <c r="BQ4" s="9">
        <v>7</v>
      </c>
      <c r="BR4" s="9">
        <v>1</v>
      </c>
      <c r="BS4" s="9">
        <v>2</v>
      </c>
      <c r="BT4" s="9">
        <v>3</v>
      </c>
      <c r="BU4" s="9">
        <v>4</v>
      </c>
      <c r="BV4" s="9">
        <v>5</v>
      </c>
      <c r="BW4" s="9">
        <v>6</v>
      </c>
      <c r="BX4" s="9">
        <v>7</v>
      </c>
      <c r="BY4" s="9">
        <v>1</v>
      </c>
      <c r="BZ4" s="9">
        <v>2</v>
      </c>
      <c r="CA4" s="9">
        <v>3</v>
      </c>
      <c r="CB4" s="9">
        <v>4</v>
      </c>
      <c r="CC4" s="9">
        <v>5</v>
      </c>
      <c r="CD4" s="9">
        <v>6</v>
      </c>
      <c r="CE4" s="9">
        <v>7</v>
      </c>
      <c r="CF4" s="9">
        <v>1</v>
      </c>
      <c r="CG4" s="9">
        <v>2</v>
      </c>
      <c r="CH4" s="9">
        <v>3</v>
      </c>
      <c r="CI4" s="9">
        <v>4</v>
      </c>
      <c r="CJ4" s="9">
        <v>5</v>
      </c>
      <c r="CK4" s="9">
        <v>6</v>
      </c>
      <c r="CL4" s="9">
        <v>7</v>
      </c>
      <c r="CM4" s="9">
        <v>1</v>
      </c>
      <c r="CN4" s="9">
        <v>2</v>
      </c>
      <c r="CO4" s="9">
        <v>3</v>
      </c>
      <c r="CP4" s="9">
        <v>4</v>
      </c>
      <c r="CQ4" s="9">
        <v>5</v>
      </c>
      <c r="CR4" s="9">
        <v>6</v>
      </c>
      <c r="CS4" s="9">
        <v>7</v>
      </c>
      <c r="CT4" s="9">
        <v>1</v>
      </c>
      <c r="CU4" s="9">
        <v>2</v>
      </c>
      <c r="CV4" s="9">
        <v>3</v>
      </c>
      <c r="CW4" s="9">
        <v>4</v>
      </c>
      <c r="CX4" s="9">
        <v>5</v>
      </c>
      <c r="CY4" s="9">
        <v>6</v>
      </c>
      <c r="CZ4" s="9">
        <v>7</v>
      </c>
      <c r="DA4" s="9">
        <v>1</v>
      </c>
      <c r="DB4" s="9">
        <v>2</v>
      </c>
      <c r="DC4" s="9">
        <v>3</v>
      </c>
      <c r="DD4" s="9">
        <v>4</v>
      </c>
      <c r="DE4" s="9">
        <v>5</v>
      </c>
      <c r="DF4" s="9">
        <v>6</v>
      </c>
      <c r="DG4" s="9">
        <v>7</v>
      </c>
      <c r="DH4" s="9">
        <v>1</v>
      </c>
      <c r="DI4" s="9">
        <v>2</v>
      </c>
      <c r="DJ4" s="9">
        <v>3</v>
      </c>
      <c r="DK4" s="9">
        <v>4</v>
      </c>
      <c r="DL4" s="9">
        <v>5</v>
      </c>
      <c r="DM4" s="9">
        <v>6</v>
      </c>
      <c r="DN4" s="9">
        <v>7</v>
      </c>
      <c r="DO4" s="9">
        <v>1</v>
      </c>
      <c r="DP4" s="9">
        <v>2</v>
      </c>
      <c r="DQ4" s="9">
        <v>3</v>
      </c>
      <c r="DR4" s="9">
        <v>4</v>
      </c>
      <c r="DS4" s="9">
        <v>5</v>
      </c>
      <c r="DT4" s="9">
        <v>6</v>
      </c>
      <c r="DU4" s="9">
        <v>7</v>
      </c>
      <c r="DV4" s="9">
        <v>1</v>
      </c>
      <c r="DW4" s="9">
        <v>2</v>
      </c>
      <c r="DX4" s="9">
        <v>3</v>
      </c>
      <c r="DY4" s="9">
        <v>4</v>
      </c>
      <c r="DZ4" s="9">
        <v>5</v>
      </c>
      <c r="EA4" s="9">
        <v>6</v>
      </c>
      <c r="EB4" s="9">
        <v>7</v>
      </c>
      <c r="EC4" s="9">
        <v>1</v>
      </c>
      <c r="ED4" s="9">
        <v>2</v>
      </c>
      <c r="EE4" s="9">
        <v>3</v>
      </c>
      <c r="EF4" s="9">
        <v>4</v>
      </c>
      <c r="EG4" s="9">
        <v>5</v>
      </c>
      <c r="EH4" s="9">
        <v>6</v>
      </c>
      <c r="EI4" s="9">
        <v>7</v>
      </c>
      <c r="EJ4" s="9">
        <v>1</v>
      </c>
      <c r="EK4" s="9">
        <v>2</v>
      </c>
      <c r="EL4" s="9">
        <v>3</v>
      </c>
      <c r="EM4" s="9">
        <v>4</v>
      </c>
      <c r="EN4" s="9">
        <v>5</v>
      </c>
      <c r="EO4" s="9">
        <v>6</v>
      </c>
      <c r="EP4" s="9">
        <v>7</v>
      </c>
      <c r="EQ4" s="9">
        <v>1</v>
      </c>
      <c r="ER4" s="9">
        <v>2</v>
      </c>
      <c r="ES4" s="9">
        <v>3</v>
      </c>
      <c r="ET4" s="9">
        <v>4</v>
      </c>
      <c r="EU4" s="9">
        <v>5</v>
      </c>
      <c r="EV4" s="9">
        <v>6</v>
      </c>
      <c r="EW4" s="9">
        <v>7</v>
      </c>
      <c r="EX4" s="9">
        <v>1</v>
      </c>
      <c r="EY4" s="9">
        <v>2</v>
      </c>
      <c r="EZ4" s="9">
        <v>3</v>
      </c>
      <c r="FA4" s="9">
        <v>4</v>
      </c>
      <c r="FB4" s="9">
        <v>5</v>
      </c>
      <c r="FC4" s="9">
        <v>6</v>
      </c>
      <c r="FD4" s="9">
        <v>7</v>
      </c>
      <c r="FE4" s="9">
        <v>1</v>
      </c>
      <c r="FF4" s="9">
        <v>2</v>
      </c>
      <c r="FG4" s="9">
        <v>3</v>
      </c>
      <c r="FH4" s="9">
        <v>4</v>
      </c>
      <c r="FI4" s="9">
        <v>5</v>
      </c>
      <c r="FJ4" s="9">
        <v>6</v>
      </c>
      <c r="FK4" s="9">
        <v>7</v>
      </c>
      <c r="FL4" s="9">
        <v>1</v>
      </c>
      <c r="FM4" s="9">
        <v>2</v>
      </c>
      <c r="FN4" s="9">
        <v>3</v>
      </c>
      <c r="FO4" s="9">
        <v>4</v>
      </c>
      <c r="FP4" s="9">
        <v>5</v>
      </c>
      <c r="FQ4" s="9">
        <v>6</v>
      </c>
      <c r="FR4" s="9">
        <v>7</v>
      </c>
      <c r="FS4" s="9">
        <v>1</v>
      </c>
      <c r="FT4" s="9">
        <v>2</v>
      </c>
      <c r="FU4" s="9">
        <v>3</v>
      </c>
      <c r="FV4" s="9">
        <v>4</v>
      </c>
      <c r="FW4" s="9">
        <v>5</v>
      </c>
      <c r="FX4" s="9">
        <v>6</v>
      </c>
      <c r="FY4" s="9">
        <v>7</v>
      </c>
      <c r="FZ4" s="9">
        <v>1</v>
      </c>
      <c r="GA4" s="9">
        <v>2</v>
      </c>
      <c r="GB4" s="9">
        <v>3</v>
      </c>
      <c r="GC4" s="9">
        <v>4</v>
      </c>
      <c r="GD4" s="9">
        <v>5</v>
      </c>
      <c r="GE4" s="9">
        <v>6</v>
      </c>
      <c r="GF4" s="9">
        <v>7</v>
      </c>
      <c r="GG4" s="9">
        <v>1</v>
      </c>
      <c r="GH4" s="9">
        <v>2</v>
      </c>
      <c r="GI4" s="9">
        <v>3</v>
      </c>
      <c r="GJ4" s="9">
        <v>4</v>
      </c>
      <c r="GK4" s="9">
        <v>5</v>
      </c>
      <c r="GL4" s="9">
        <v>6</v>
      </c>
      <c r="GM4" s="9">
        <v>7</v>
      </c>
      <c r="GN4" s="9">
        <v>1</v>
      </c>
      <c r="GO4" s="9">
        <v>2</v>
      </c>
      <c r="GP4" s="9">
        <v>3</v>
      </c>
      <c r="GQ4" s="9">
        <v>4</v>
      </c>
      <c r="GR4" s="9">
        <v>5</v>
      </c>
      <c r="GS4" s="9">
        <v>6</v>
      </c>
      <c r="GT4" s="9">
        <v>7</v>
      </c>
      <c r="GU4" s="9">
        <v>1</v>
      </c>
      <c r="GV4" s="9">
        <v>2</v>
      </c>
      <c r="GW4" s="9">
        <v>3</v>
      </c>
      <c r="GX4" s="9">
        <v>4</v>
      </c>
      <c r="GY4" s="9">
        <v>5</v>
      </c>
      <c r="GZ4" s="9">
        <v>6</v>
      </c>
      <c r="HA4" s="9">
        <v>7</v>
      </c>
      <c r="HB4" s="9">
        <v>1</v>
      </c>
      <c r="HC4" s="9">
        <v>2</v>
      </c>
      <c r="HD4" s="9">
        <v>3</v>
      </c>
      <c r="HE4" s="9">
        <v>4</v>
      </c>
      <c r="HF4" s="9">
        <v>5</v>
      </c>
      <c r="HG4" s="9">
        <v>6</v>
      </c>
      <c r="HH4" s="9">
        <v>7</v>
      </c>
      <c r="HI4" s="9">
        <v>1</v>
      </c>
      <c r="HJ4" s="9">
        <v>2</v>
      </c>
      <c r="HK4" s="9">
        <v>3</v>
      </c>
      <c r="HL4" s="9">
        <v>4</v>
      </c>
      <c r="HM4" s="9">
        <v>5</v>
      </c>
      <c r="HN4" s="9">
        <v>6</v>
      </c>
      <c r="HO4" s="9">
        <v>7</v>
      </c>
      <c r="HP4" s="9">
        <v>1</v>
      </c>
      <c r="HQ4" s="9">
        <v>2</v>
      </c>
      <c r="HR4" s="9">
        <v>3</v>
      </c>
      <c r="HS4" s="9">
        <v>4</v>
      </c>
      <c r="HT4" s="9">
        <v>5</v>
      </c>
      <c r="HU4" s="9">
        <v>6</v>
      </c>
      <c r="HV4" s="9">
        <v>7</v>
      </c>
      <c r="HW4" s="9">
        <v>1</v>
      </c>
      <c r="HX4" s="9">
        <v>2</v>
      </c>
      <c r="HY4" s="9">
        <v>3</v>
      </c>
      <c r="HZ4" s="9">
        <v>4</v>
      </c>
      <c r="IA4" s="9">
        <v>5</v>
      </c>
      <c r="IB4" s="9">
        <v>6</v>
      </c>
      <c r="IC4" s="9">
        <v>7</v>
      </c>
      <c r="ID4" s="9">
        <v>1</v>
      </c>
      <c r="IE4" s="9">
        <v>2</v>
      </c>
      <c r="IF4" s="9">
        <v>3</v>
      </c>
      <c r="IG4" s="9">
        <v>4</v>
      </c>
      <c r="IH4" s="9">
        <v>5</v>
      </c>
      <c r="II4" s="9">
        <v>6</v>
      </c>
      <c r="IJ4" s="9">
        <v>7</v>
      </c>
      <c r="IK4" s="9">
        <v>1</v>
      </c>
      <c r="IL4" s="9">
        <v>2</v>
      </c>
      <c r="IM4" s="9">
        <v>3</v>
      </c>
      <c r="IN4" s="9">
        <v>4</v>
      </c>
      <c r="IO4" s="9">
        <v>5</v>
      </c>
      <c r="IP4" s="9">
        <v>6</v>
      </c>
      <c r="IQ4" s="9">
        <v>7</v>
      </c>
      <c r="IR4" s="9">
        <v>1</v>
      </c>
      <c r="IS4" s="9">
        <v>2</v>
      </c>
      <c r="IT4" s="9">
        <v>3</v>
      </c>
      <c r="IU4" s="9">
        <v>4</v>
      </c>
      <c r="IV4" s="9">
        <v>5</v>
      </c>
      <c r="IW4" s="9">
        <v>6</v>
      </c>
      <c r="IX4" s="9">
        <v>7</v>
      </c>
      <c r="IY4" s="9">
        <v>1</v>
      </c>
      <c r="IZ4" s="9">
        <v>2</v>
      </c>
      <c r="JA4" s="9">
        <v>3</v>
      </c>
      <c r="JB4" s="9">
        <v>4</v>
      </c>
      <c r="JC4" s="9">
        <v>5</v>
      </c>
      <c r="JD4" s="9">
        <v>6</v>
      </c>
      <c r="JE4" s="9">
        <v>7</v>
      </c>
      <c r="JF4" s="9">
        <v>1</v>
      </c>
      <c r="JG4" s="9">
        <v>2</v>
      </c>
      <c r="JH4" s="9">
        <v>3</v>
      </c>
      <c r="JI4" s="9">
        <v>4</v>
      </c>
      <c r="JJ4" s="9">
        <v>5</v>
      </c>
      <c r="JK4" s="9">
        <v>6</v>
      </c>
      <c r="JL4" s="9">
        <v>7</v>
      </c>
      <c r="JM4" s="9">
        <v>1</v>
      </c>
      <c r="JN4" s="9">
        <v>2</v>
      </c>
      <c r="JO4" s="9">
        <v>3</v>
      </c>
      <c r="JP4" s="9">
        <v>4</v>
      </c>
      <c r="JQ4" s="9">
        <v>5</v>
      </c>
      <c r="JR4" s="9">
        <v>6</v>
      </c>
      <c r="JS4" s="9">
        <v>7</v>
      </c>
      <c r="JT4" s="9">
        <v>1</v>
      </c>
      <c r="JU4" s="9">
        <v>2</v>
      </c>
      <c r="JV4" s="9">
        <v>3</v>
      </c>
      <c r="JW4" s="9">
        <v>4</v>
      </c>
      <c r="JX4" s="9">
        <v>5</v>
      </c>
      <c r="JY4" s="9">
        <v>6</v>
      </c>
      <c r="JZ4" s="9">
        <v>7</v>
      </c>
      <c r="KA4" s="9">
        <v>1</v>
      </c>
      <c r="KB4" s="9">
        <v>2</v>
      </c>
      <c r="KC4" s="9">
        <v>3</v>
      </c>
      <c r="KD4" s="9">
        <v>4</v>
      </c>
      <c r="KE4" s="9">
        <v>5</v>
      </c>
      <c r="KF4" s="9">
        <v>6</v>
      </c>
      <c r="KG4" s="9">
        <v>7</v>
      </c>
      <c r="KH4" s="9">
        <v>1</v>
      </c>
      <c r="KI4" s="9">
        <v>2</v>
      </c>
      <c r="KJ4" s="9">
        <v>3</v>
      </c>
      <c r="KK4" s="9">
        <v>4</v>
      </c>
      <c r="KL4" s="9">
        <v>5</v>
      </c>
      <c r="KM4" s="9">
        <v>6</v>
      </c>
      <c r="KN4" s="9">
        <v>7</v>
      </c>
      <c r="KO4" s="9">
        <v>1</v>
      </c>
      <c r="KP4" s="9">
        <v>2</v>
      </c>
      <c r="KQ4" s="9">
        <v>3</v>
      </c>
      <c r="KR4" s="9">
        <v>4</v>
      </c>
      <c r="KS4" s="9">
        <v>5</v>
      </c>
      <c r="KT4" s="9">
        <v>6</v>
      </c>
      <c r="KU4" s="9">
        <v>7</v>
      </c>
      <c r="KV4" s="9">
        <v>1</v>
      </c>
      <c r="KW4" s="9">
        <v>2</v>
      </c>
      <c r="KX4" s="9">
        <v>3</v>
      </c>
      <c r="KY4" s="9">
        <v>4</v>
      </c>
      <c r="KZ4" s="9">
        <v>5</v>
      </c>
      <c r="LA4" s="9">
        <v>6</v>
      </c>
      <c r="LB4" s="9">
        <v>7</v>
      </c>
      <c r="LC4" s="9">
        <v>1</v>
      </c>
      <c r="LD4" s="9">
        <v>2</v>
      </c>
      <c r="LE4" s="9">
        <v>3</v>
      </c>
      <c r="LF4" s="9">
        <v>4</v>
      </c>
      <c r="LG4" s="9">
        <v>5</v>
      </c>
      <c r="LH4" s="9">
        <v>6</v>
      </c>
      <c r="LI4" s="9">
        <v>7</v>
      </c>
      <c r="LJ4" s="9">
        <v>1</v>
      </c>
      <c r="LK4" s="9">
        <v>2</v>
      </c>
      <c r="LL4" s="9">
        <v>3</v>
      </c>
      <c r="LM4" s="9">
        <v>4</v>
      </c>
      <c r="LN4" s="9">
        <v>5</v>
      </c>
      <c r="LO4" s="9">
        <v>6</v>
      </c>
      <c r="LP4" s="9">
        <v>7</v>
      </c>
      <c r="LQ4" s="9">
        <v>1</v>
      </c>
      <c r="LR4" s="9">
        <v>2</v>
      </c>
      <c r="LS4" s="9">
        <v>3</v>
      </c>
      <c r="LT4" s="9">
        <v>4</v>
      </c>
      <c r="LU4" s="9">
        <v>5</v>
      </c>
      <c r="LV4" s="9">
        <v>6</v>
      </c>
      <c r="LW4" s="9">
        <v>7</v>
      </c>
      <c r="LX4" s="9">
        <v>1</v>
      </c>
      <c r="LY4" s="9">
        <v>2</v>
      </c>
      <c r="LZ4" s="9">
        <v>3</v>
      </c>
      <c r="MA4" s="9">
        <v>4</v>
      </c>
      <c r="MB4" s="9">
        <v>5</v>
      </c>
      <c r="MC4" s="9">
        <v>6</v>
      </c>
      <c r="MD4" s="9">
        <v>7</v>
      </c>
      <c r="ME4" s="9">
        <v>1</v>
      </c>
      <c r="MF4" s="9">
        <v>2</v>
      </c>
      <c r="MG4" s="9">
        <v>3</v>
      </c>
      <c r="MH4" s="9">
        <v>4</v>
      </c>
      <c r="MI4" s="9">
        <v>5</v>
      </c>
      <c r="MJ4" s="9">
        <v>6</v>
      </c>
      <c r="MK4" s="9">
        <v>7</v>
      </c>
      <c r="ML4" s="9">
        <v>1</v>
      </c>
      <c r="MM4" s="9">
        <v>2</v>
      </c>
      <c r="MN4" s="9">
        <v>3</v>
      </c>
      <c r="MO4" s="9">
        <v>4</v>
      </c>
      <c r="MP4" s="9">
        <v>5</v>
      </c>
      <c r="MQ4" s="9">
        <v>6</v>
      </c>
      <c r="MR4" s="9">
        <v>7</v>
      </c>
      <c r="MS4" s="9">
        <v>1</v>
      </c>
      <c r="MT4" s="9">
        <v>2</v>
      </c>
      <c r="MU4" s="9">
        <v>3</v>
      </c>
      <c r="MV4" s="9">
        <v>4</v>
      </c>
      <c r="MW4" s="9">
        <v>5</v>
      </c>
      <c r="MX4" s="9">
        <v>6</v>
      </c>
      <c r="MY4" s="9">
        <v>7</v>
      </c>
      <c r="MZ4" s="9">
        <v>1</v>
      </c>
      <c r="NA4" s="9">
        <v>2</v>
      </c>
      <c r="NB4" s="9">
        <v>3</v>
      </c>
      <c r="NC4" s="9">
        <v>4</v>
      </c>
      <c r="ND4" s="9">
        <v>5</v>
      </c>
      <c r="NE4" s="9">
        <v>6</v>
      </c>
      <c r="NF4" s="9">
        <v>7</v>
      </c>
      <c r="NG4" s="9">
        <v>1</v>
      </c>
      <c r="NH4" s="9">
        <v>2</v>
      </c>
      <c r="NI4" s="9">
        <v>3</v>
      </c>
      <c r="NJ4" s="9">
        <v>4</v>
      </c>
    </row>
    <row r="5" spans="1:427" s="5" customFormat="1" ht="33" hidden="1" customHeight="1" x14ac:dyDescent="0.25">
      <c r="A5" s="1"/>
      <c r="B5" s="1"/>
      <c r="C5" s="1"/>
      <c r="D5" s="42"/>
      <c r="E5" s="2"/>
      <c r="F5" s="3">
        <v>0</v>
      </c>
      <c r="G5" s="9">
        <v>1</v>
      </c>
      <c r="H5" s="9">
        <v>1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>
        <v>0</v>
      </c>
      <c r="AD5" s="9">
        <v>0</v>
      </c>
      <c r="AE5" s="9">
        <v>0</v>
      </c>
      <c r="AF5" s="9">
        <v>0</v>
      </c>
      <c r="AG5" s="9">
        <v>0</v>
      </c>
      <c r="AH5" s="9">
        <v>0</v>
      </c>
      <c r="AI5" s="9">
        <v>0</v>
      </c>
      <c r="AJ5" s="9">
        <v>0</v>
      </c>
      <c r="AK5" s="9">
        <v>0</v>
      </c>
      <c r="AL5" s="9">
        <v>0</v>
      </c>
      <c r="AM5" s="9">
        <v>0</v>
      </c>
      <c r="AN5" s="9">
        <v>0</v>
      </c>
      <c r="AO5" s="9">
        <v>0</v>
      </c>
      <c r="AP5" s="9">
        <v>0</v>
      </c>
      <c r="AQ5" s="9">
        <v>0</v>
      </c>
      <c r="AR5" s="9">
        <v>0</v>
      </c>
      <c r="AS5" s="9">
        <v>0</v>
      </c>
      <c r="AT5" s="9">
        <v>0</v>
      </c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0</v>
      </c>
      <c r="BD5" s="9">
        <v>0</v>
      </c>
      <c r="BE5" s="9">
        <v>0</v>
      </c>
      <c r="BF5" s="9">
        <v>0</v>
      </c>
      <c r="BG5" s="9">
        <v>0</v>
      </c>
      <c r="BH5" s="9">
        <v>0</v>
      </c>
      <c r="BI5" s="9">
        <v>0</v>
      </c>
      <c r="BJ5" s="9">
        <v>0</v>
      </c>
      <c r="BK5" s="9">
        <v>0</v>
      </c>
      <c r="BL5" s="9">
        <v>0</v>
      </c>
      <c r="BM5" s="9">
        <v>0</v>
      </c>
      <c r="BN5" s="9">
        <v>0</v>
      </c>
      <c r="BO5" s="9">
        <v>0</v>
      </c>
      <c r="BP5" s="9">
        <v>0</v>
      </c>
      <c r="BQ5" s="9">
        <v>0</v>
      </c>
      <c r="BR5" s="9">
        <v>0</v>
      </c>
      <c r="BS5" s="9">
        <v>0</v>
      </c>
      <c r="BT5" s="9">
        <v>0</v>
      </c>
      <c r="BU5" s="9">
        <v>0</v>
      </c>
      <c r="BV5" s="9">
        <v>0</v>
      </c>
      <c r="BW5" s="9">
        <v>0</v>
      </c>
      <c r="BX5" s="9">
        <v>0</v>
      </c>
      <c r="BY5" s="9">
        <v>0</v>
      </c>
      <c r="BZ5" s="9">
        <v>0</v>
      </c>
      <c r="CA5" s="9">
        <v>0</v>
      </c>
      <c r="CB5" s="9">
        <v>0</v>
      </c>
      <c r="CC5" s="9">
        <v>0</v>
      </c>
      <c r="CD5" s="9">
        <v>0</v>
      </c>
      <c r="CE5" s="9">
        <v>0</v>
      </c>
      <c r="CF5" s="9">
        <v>0</v>
      </c>
      <c r="CG5" s="9">
        <v>0</v>
      </c>
      <c r="CH5" s="9">
        <v>0</v>
      </c>
      <c r="CI5" s="9">
        <v>0</v>
      </c>
      <c r="CJ5" s="9">
        <v>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1</v>
      </c>
      <c r="CR5" s="9">
        <v>0</v>
      </c>
      <c r="CS5" s="9">
        <v>0</v>
      </c>
      <c r="CT5" s="9">
        <v>1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  <c r="DK5" s="9">
        <v>0</v>
      </c>
      <c r="DL5" s="9">
        <v>0</v>
      </c>
      <c r="DM5" s="9">
        <v>0</v>
      </c>
      <c r="DN5" s="9">
        <v>0</v>
      </c>
      <c r="DO5" s="9">
        <v>0</v>
      </c>
      <c r="DP5" s="9">
        <v>0</v>
      </c>
      <c r="DQ5" s="9">
        <v>0</v>
      </c>
      <c r="DR5" s="9">
        <v>0</v>
      </c>
      <c r="DS5" s="9">
        <v>0</v>
      </c>
      <c r="DT5" s="9">
        <v>0</v>
      </c>
      <c r="DU5" s="9">
        <v>0</v>
      </c>
      <c r="DV5" s="9">
        <v>1</v>
      </c>
      <c r="DW5" s="9">
        <v>1</v>
      </c>
      <c r="DX5" s="9">
        <v>0</v>
      </c>
      <c r="DY5" s="9">
        <v>0</v>
      </c>
      <c r="DZ5" s="9">
        <v>0</v>
      </c>
      <c r="EA5" s="9">
        <v>0</v>
      </c>
      <c r="EB5" s="9">
        <v>0</v>
      </c>
      <c r="EC5" s="9">
        <v>0</v>
      </c>
      <c r="ED5" s="9">
        <v>0</v>
      </c>
      <c r="EE5" s="9">
        <v>0</v>
      </c>
      <c r="EF5" s="9">
        <v>1</v>
      </c>
      <c r="EG5" s="9">
        <v>1</v>
      </c>
      <c r="EH5" s="9">
        <v>0</v>
      </c>
      <c r="EI5" s="9">
        <v>0</v>
      </c>
      <c r="EJ5" s="9">
        <v>0</v>
      </c>
      <c r="EK5" s="9">
        <v>0</v>
      </c>
      <c r="EL5" s="9">
        <v>0</v>
      </c>
      <c r="EM5" s="9">
        <v>0</v>
      </c>
      <c r="EN5" s="9">
        <v>0</v>
      </c>
      <c r="EO5" s="9">
        <v>0</v>
      </c>
      <c r="EP5" s="9">
        <v>0</v>
      </c>
      <c r="EQ5" s="9">
        <v>1</v>
      </c>
      <c r="ER5" s="9">
        <v>0</v>
      </c>
      <c r="ES5" s="9">
        <v>0</v>
      </c>
      <c r="ET5" s="9">
        <v>0</v>
      </c>
      <c r="EU5" s="9">
        <v>0</v>
      </c>
      <c r="EV5" s="9">
        <v>0</v>
      </c>
      <c r="EW5" s="9">
        <v>0</v>
      </c>
      <c r="EX5" s="9">
        <v>0</v>
      </c>
      <c r="EY5" s="9">
        <v>0</v>
      </c>
      <c r="EZ5" s="9">
        <v>0</v>
      </c>
      <c r="FA5" s="9">
        <v>0</v>
      </c>
      <c r="FB5" s="9">
        <v>0</v>
      </c>
      <c r="FC5" s="9">
        <v>0</v>
      </c>
      <c r="FD5" s="9">
        <v>0</v>
      </c>
      <c r="FE5" s="9">
        <v>0</v>
      </c>
      <c r="FF5" s="9">
        <v>0</v>
      </c>
      <c r="FG5" s="9">
        <v>0</v>
      </c>
      <c r="FH5" s="9">
        <v>0</v>
      </c>
      <c r="FI5" s="9">
        <v>0</v>
      </c>
      <c r="FJ5" s="9">
        <v>0</v>
      </c>
      <c r="FK5" s="9">
        <v>0</v>
      </c>
      <c r="FL5" s="9">
        <v>0</v>
      </c>
      <c r="FM5" s="9">
        <v>0</v>
      </c>
      <c r="FN5" s="9">
        <v>0</v>
      </c>
      <c r="FO5" s="9">
        <v>0</v>
      </c>
      <c r="FP5" s="9">
        <v>0</v>
      </c>
      <c r="FQ5" s="9">
        <v>0</v>
      </c>
      <c r="FR5" s="9">
        <v>0</v>
      </c>
      <c r="FS5" s="9">
        <v>0</v>
      </c>
      <c r="FT5" s="9">
        <v>0</v>
      </c>
      <c r="FU5" s="9">
        <v>0</v>
      </c>
      <c r="FV5" s="9">
        <v>0</v>
      </c>
      <c r="FW5" s="9">
        <v>0</v>
      </c>
      <c r="FX5" s="9">
        <v>0</v>
      </c>
      <c r="FY5" s="9">
        <v>0</v>
      </c>
      <c r="FZ5" s="9">
        <v>0</v>
      </c>
      <c r="GA5" s="9">
        <v>0</v>
      </c>
      <c r="GB5" s="9">
        <v>0</v>
      </c>
      <c r="GC5" s="9">
        <v>0</v>
      </c>
      <c r="GD5" s="9">
        <v>0</v>
      </c>
      <c r="GE5" s="9">
        <v>0</v>
      </c>
      <c r="GF5" s="9">
        <v>0</v>
      </c>
      <c r="GG5" s="9">
        <v>0</v>
      </c>
      <c r="GH5" s="9">
        <v>0</v>
      </c>
      <c r="GI5" s="9">
        <v>0</v>
      </c>
      <c r="GJ5" s="9">
        <v>0</v>
      </c>
      <c r="GK5" s="9">
        <v>0</v>
      </c>
      <c r="GL5" s="9">
        <v>0</v>
      </c>
      <c r="GM5" s="9">
        <v>0</v>
      </c>
      <c r="GN5" s="9">
        <v>0</v>
      </c>
      <c r="GO5" s="9">
        <v>0</v>
      </c>
      <c r="GP5" s="9">
        <v>0</v>
      </c>
      <c r="GQ5" s="9">
        <v>0</v>
      </c>
      <c r="GR5" s="9">
        <v>0</v>
      </c>
      <c r="GS5" s="9">
        <v>0</v>
      </c>
      <c r="GT5" s="9">
        <v>0</v>
      </c>
      <c r="GU5" s="9">
        <v>0</v>
      </c>
      <c r="GV5" s="9">
        <v>0</v>
      </c>
      <c r="GW5" s="9">
        <v>0</v>
      </c>
      <c r="GX5" s="9">
        <v>0</v>
      </c>
      <c r="GY5" s="9">
        <v>0</v>
      </c>
      <c r="GZ5" s="9">
        <v>0</v>
      </c>
      <c r="HA5" s="9">
        <v>0</v>
      </c>
      <c r="HB5" s="9">
        <v>0</v>
      </c>
      <c r="HC5" s="9">
        <v>0</v>
      </c>
      <c r="HD5" s="9">
        <v>0</v>
      </c>
      <c r="HE5" s="9">
        <v>0</v>
      </c>
      <c r="HF5" s="9">
        <v>0</v>
      </c>
      <c r="HG5" s="9">
        <v>0</v>
      </c>
      <c r="HH5" s="9">
        <v>0</v>
      </c>
      <c r="HI5" s="9">
        <v>0</v>
      </c>
      <c r="HJ5" s="9">
        <v>0</v>
      </c>
      <c r="HK5" s="9">
        <v>1</v>
      </c>
      <c r="HL5" s="9">
        <v>0</v>
      </c>
      <c r="HM5" s="9">
        <v>0</v>
      </c>
      <c r="HN5" s="9">
        <v>0</v>
      </c>
      <c r="HO5" s="9">
        <v>0</v>
      </c>
      <c r="HP5" s="9">
        <v>0</v>
      </c>
      <c r="HQ5" s="9">
        <v>0</v>
      </c>
      <c r="HR5" s="9">
        <v>0</v>
      </c>
      <c r="HS5" s="9">
        <v>0</v>
      </c>
      <c r="HT5" s="9">
        <v>0</v>
      </c>
      <c r="HU5" s="9">
        <v>0</v>
      </c>
      <c r="HV5" s="9">
        <v>0</v>
      </c>
      <c r="HW5" s="9">
        <v>0</v>
      </c>
      <c r="HX5" s="9">
        <v>0</v>
      </c>
      <c r="HY5" s="9">
        <v>0</v>
      </c>
      <c r="HZ5" s="9">
        <v>0</v>
      </c>
      <c r="IA5" s="9">
        <v>0</v>
      </c>
      <c r="IB5" s="9">
        <v>0</v>
      </c>
      <c r="IC5" s="9">
        <v>0</v>
      </c>
      <c r="ID5" s="9">
        <v>0</v>
      </c>
      <c r="IE5" s="9">
        <v>0</v>
      </c>
      <c r="IF5" s="9">
        <v>0</v>
      </c>
      <c r="IG5" s="9">
        <v>0</v>
      </c>
      <c r="IH5" s="9">
        <v>0</v>
      </c>
      <c r="II5" s="9">
        <v>0</v>
      </c>
      <c r="IJ5" s="9">
        <v>0</v>
      </c>
      <c r="IK5" s="9">
        <v>0</v>
      </c>
      <c r="IL5" s="9">
        <v>0</v>
      </c>
      <c r="IM5" s="9">
        <v>0</v>
      </c>
      <c r="IN5" s="9">
        <v>0</v>
      </c>
      <c r="IO5" s="9">
        <v>0</v>
      </c>
      <c r="IP5" s="9">
        <v>0</v>
      </c>
      <c r="IQ5" s="9">
        <v>0</v>
      </c>
      <c r="IR5" s="9">
        <v>0</v>
      </c>
      <c r="IS5" s="9">
        <v>0</v>
      </c>
      <c r="IT5" s="9">
        <v>0</v>
      </c>
      <c r="IU5" s="9">
        <v>0</v>
      </c>
      <c r="IV5" s="9">
        <v>0</v>
      </c>
      <c r="IW5" s="9">
        <v>0</v>
      </c>
      <c r="IX5" s="9">
        <v>0</v>
      </c>
      <c r="IY5" s="9">
        <v>0</v>
      </c>
      <c r="IZ5" s="9">
        <v>0</v>
      </c>
      <c r="JA5" s="9">
        <v>0</v>
      </c>
      <c r="JB5" s="9">
        <v>0</v>
      </c>
      <c r="JC5" s="9">
        <v>0</v>
      </c>
      <c r="JD5" s="9">
        <v>0</v>
      </c>
      <c r="JE5" s="9">
        <v>0</v>
      </c>
      <c r="JF5" s="9">
        <v>0</v>
      </c>
      <c r="JG5" s="9">
        <v>0</v>
      </c>
      <c r="JH5" s="9">
        <v>0</v>
      </c>
      <c r="JI5" s="9">
        <v>0</v>
      </c>
      <c r="JJ5" s="9">
        <v>0</v>
      </c>
      <c r="JK5" s="9">
        <v>0</v>
      </c>
      <c r="JL5" s="9">
        <v>0</v>
      </c>
      <c r="JM5" s="9">
        <v>0</v>
      </c>
      <c r="JN5" s="9">
        <v>0</v>
      </c>
      <c r="JO5" s="9">
        <v>0</v>
      </c>
      <c r="JP5" s="9">
        <v>0</v>
      </c>
      <c r="JQ5" s="9">
        <v>0</v>
      </c>
      <c r="JR5" s="9">
        <v>0</v>
      </c>
      <c r="JS5" s="9">
        <v>0</v>
      </c>
      <c r="JT5" s="9">
        <v>0</v>
      </c>
      <c r="JU5" s="9">
        <v>0</v>
      </c>
      <c r="JV5" s="9">
        <v>0</v>
      </c>
      <c r="JW5" s="9">
        <v>0</v>
      </c>
      <c r="JX5" s="9">
        <v>0</v>
      </c>
      <c r="JY5" s="9">
        <v>0</v>
      </c>
      <c r="JZ5" s="9">
        <v>0</v>
      </c>
      <c r="KA5" s="9">
        <v>0</v>
      </c>
      <c r="KB5" s="9">
        <v>0</v>
      </c>
      <c r="KC5" s="9">
        <v>0</v>
      </c>
      <c r="KD5" s="9">
        <v>0</v>
      </c>
      <c r="KE5" s="9">
        <v>0</v>
      </c>
      <c r="KF5" s="9">
        <v>0</v>
      </c>
      <c r="KG5" s="9">
        <v>0</v>
      </c>
      <c r="KH5" s="9">
        <v>0</v>
      </c>
      <c r="KI5" s="9">
        <v>0</v>
      </c>
      <c r="KJ5" s="9">
        <v>0</v>
      </c>
      <c r="KK5" s="9">
        <v>0</v>
      </c>
      <c r="KL5" s="9">
        <v>0</v>
      </c>
      <c r="KM5" s="9">
        <v>0</v>
      </c>
      <c r="KN5" s="9">
        <v>0</v>
      </c>
      <c r="KO5" s="9">
        <v>0</v>
      </c>
      <c r="KP5" s="9">
        <v>0</v>
      </c>
      <c r="KQ5" s="9">
        <v>0</v>
      </c>
      <c r="KR5" s="9">
        <v>0</v>
      </c>
      <c r="KS5" s="9">
        <v>0</v>
      </c>
      <c r="KT5" s="9">
        <v>0</v>
      </c>
      <c r="KU5" s="9">
        <v>0</v>
      </c>
      <c r="KV5" s="9">
        <v>0</v>
      </c>
      <c r="KW5" s="9">
        <v>0</v>
      </c>
      <c r="KX5" s="9">
        <v>0</v>
      </c>
      <c r="KY5" s="9">
        <v>0</v>
      </c>
      <c r="KZ5" s="9">
        <v>0</v>
      </c>
      <c r="LA5" s="9">
        <v>0</v>
      </c>
      <c r="LB5" s="9">
        <v>0</v>
      </c>
      <c r="LC5" s="9">
        <v>0</v>
      </c>
      <c r="LD5" s="9">
        <v>0</v>
      </c>
      <c r="LE5" s="9">
        <v>0</v>
      </c>
      <c r="LF5" s="9">
        <v>0</v>
      </c>
      <c r="LG5" s="9">
        <v>0</v>
      </c>
      <c r="LH5" s="9">
        <v>0</v>
      </c>
      <c r="LI5" s="9">
        <v>0</v>
      </c>
      <c r="LJ5" s="9">
        <v>0</v>
      </c>
      <c r="LK5" s="9">
        <v>0</v>
      </c>
      <c r="LL5" s="9">
        <v>0</v>
      </c>
      <c r="LM5" s="9">
        <v>0</v>
      </c>
      <c r="LN5" s="9">
        <v>0</v>
      </c>
      <c r="LO5" s="9">
        <v>0</v>
      </c>
      <c r="LP5" s="9">
        <v>0</v>
      </c>
      <c r="LQ5" s="9">
        <v>0</v>
      </c>
      <c r="LR5" s="9">
        <v>0</v>
      </c>
      <c r="LS5" s="9">
        <v>0</v>
      </c>
      <c r="LT5" s="9">
        <v>0</v>
      </c>
      <c r="LU5" s="9">
        <v>0</v>
      </c>
      <c r="LV5" s="9">
        <v>0</v>
      </c>
      <c r="LW5" s="9">
        <v>0</v>
      </c>
      <c r="LX5" s="9">
        <v>0</v>
      </c>
      <c r="LY5" s="9">
        <v>0</v>
      </c>
      <c r="LZ5" s="9">
        <v>0</v>
      </c>
      <c r="MA5" s="9">
        <v>0</v>
      </c>
      <c r="MB5" s="9">
        <v>0</v>
      </c>
      <c r="MC5" s="9">
        <v>0</v>
      </c>
      <c r="MD5" s="9">
        <v>0</v>
      </c>
      <c r="ME5" s="9">
        <v>0</v>
      </c>
      <c r="MF5" s="9">
        <v>0</v>
      </c>
      <c r="MG5" s="9">
        <v>0</v>
      </c>
      <c r="MH5" s="9">
        <v>0</v>
      </c>
      <c r="MI5" s="9">
        <v>0</v>
      </c>
      <c r="MJ5" s="9">
        <v>0</v>
      </c>
      <c r="MK5" s="9">
        <v>0</v>
      </c>
      <c r="ML5" s="9">
        <v>0</v>
      </c>
      <c r="MM5" s="9">
        <v>0</v>
      </c>
      <c r="MN5" s="9">
        <v>0</v>
      </c>
      <c r="MO5" s="9">
        <v>0</v>
      </c>
      <c r="MP5" s="9">
        <v>0</v>
      </c>
      <c r="MQ5" s="9">
        <v>0</v>
      </c>
      <c r="MR5" s="9">
        <v>0</v>
      </c>
      <c r="MS5" s="9">
        <v>0</v>
      </c>
      <c r="MT5" s="9">
        <v>0</v>
      </c>
      <c r="MU5" s="9">
        <v>0</v>
      </c>
      <c r="MV5" s="9">
        <v>0</v>
      </c>
      <c r="MW5" s="9">
        <v>0</v>
      </c>
      <c r="MX5" s="9">
        <v>0</v>
      </c>
      <c r="MY5" s="9">
        <v>0</v>
      </c>
      <c r="MZ5" s="9">
        <v>1</v>
      </c>
      <c r="NA5" s="9">
        <v>1</v>
      </c>
      <c r="NB5" s="9">
        <v>1</v>
      </c>
      <c r="NC5" s="9">
        <v>1</v>
      </c>
      <c r="ND5" s="9">
        <v>1</v>
      </c>
      <c r="NE5" s="9">
        <v>0</v>
      </c>
      <c r="NF5" s="9">
        <v>0</v>
      </c>
      <c r="NG5" s="9">
        <v>1</v>
      </c>
      <c r="NH5" s="9">
        <v>1</v>
      </c>
      <c r="NI5" s="9">
        <v>1</v>
      </c>
      <c r="NJ5" s="9">
        <v>0</v>
      </c>
    </row>
    <row r="6" spans="1:427" s="5" customFormat="1" ht="33" customHeight="1" x14ac:dyDescent="0.25">
      <c r="A6" s="52" t="s">
        <v>47</v>
      </c>
      <c r="B6" s="53"/>
      <c r="C6" s="53"/>
      <c r="D6" s="54"/>
      <c r="E6" s="55"/>
      <c r="F6" s="53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34"/>
      <c r="DY6" s="29"/>
      <c r="DZ6" s="29"/>
      <c r="EA6" s="29"/>
      <c r="EB6" s="29"/>
      <c r="EC6" s="29"/>
      <c r="ED6" s="29"/>
      <c r="EE6" s="35"/>
      <c r="EF6" s="29"/>
      <c r="EG6" s="29"/>
      <c r="EH6" s="29"/>
      <c r="EI6" s="29"/>
      <c r="EJ6" s="29"/>
      <c r="EK6" s="29"/>
      <c r="EL6" s="29"/>
      <c r="EM6" s="29"/>
      <c r="EN6" s="29"/>
      <c r="EO6" s="36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  <c r="IS6" s="29"/>
      <c r="IT6" s="29"/>
      <c r="IU6" s="29"/>
      <c r="IV6" s="29"/>
      <c r="IW6" s="29"/>
      <c r="IX6" s="29"/>
      <c r="IY6" s="29"/>
      <c r="IZ6" s="29"/>
      <c r="JA6" s="29"/>
      <c r="JB6" s="29"/>
      <c r="JC6" s="29"/>
      <c r="JD6" s="29"/>
      <c r="JE6" s="29"/>
      <c r="JF6" s="29"/>
      <c r="JG6" s="29"/>
      <c r="JH6" s="29"/>
      <c r="JI6" s="29"/>
      <c r="JJ6" s="29"/>
      <c r="JK6" s="29"/>
      <c r="JL6" s="29"/>
      <c r="JM6" s="29"/>
      <c r="JN6" s="29"/>
      <c r="JO6" s="29"/>
      <c r="JP6" s="29"/>
      <c r="JQ6" s="29"/>
      <c r="JR6" s="29"/>
      <c r="JS6" s="29"/>
      <c r="JT6" s="29"/>
      <c r="JU6" s="29"/>
      <c r="JV6" s="29"/>
      <c r="JW6" s="29"/>
      <c r="JX6" s="29"/>
      <c r="JY6" s="29"/>
      <c r="JZ6" s="29"/>
      <c r="KA6" s="29"/>
      <c r="KB6" s="29"/>
      <c r="KC6" s="29"/>
      <c r="KD6" s="29"/>
      <c r="KE6" s="29"/>
      <c r="KF6" s="29"/>
      <c r="KG6" s="29"/>
      <c r="KH6" s="29"/>
      <c r="KI6" s="29"/>
      <c r="KJ6" s="29"/>
      <c r="KK6" s="29"/>
      <c r="KL6" s="29"/>
      <c r="KM6" s="29"/>
      <c r="KN6" s="29"/>
      <c r="KO6" s="29"/>
      <c r="KP6" s="29"/>
      <c r="KQ6" s="29"/>
      <c r="KR6" s="29"/>
      <c r="KS6" s="29"/>
      <c r="KT6" s="29"/>
      <c r="KU6" s="29"/>
      <c r="KV6" s="29"/>
      <c r="KW6" s="29"/>
      <c r="KX6" s="29"/>
      <c r="KY6" s="29"/>
      <c r="KZ6" s="29"/>
      <c r="LA6" s="29"/>
      <c r="LB6" s="29"/>
      <c r="LC6" s="29"/>
      <c r="LD6" s="29"/>
      <c r="LE6" s="29"/>
      <c r="LF6" s="29"/>
      <c r="LG6" s="29"/>
      <c r="LH6" s="29"/>
      <c r="LI6" s="29"/>
      <c r="LJ6" s="29"/>
      <c r="LK6" s="29"/>
      <c r="LL6" s="29"/>
      <c r="LM6" s="29"/>
      <c r="LN6" s="29"/>
      <c r="LO6" s="29"/>
      <c r="LP6" s="29"/>
      <c r="LQ6" s="29"/>
      <c r="LR6" s="29"/>
      <c r="LS6" s="29"/>
      <c r="LT6" s="29"/>
      <c r="LU6" s="29"/>
      <c r="LV6" s="29"/>
      <c r="LW6" s="29"/>
      <c r="LX6" s="29"/>
      <c r="LY6" s="29"/>
      <c r="LZ6" s="29"/>
      <c r="MA6" s="29"/>
      <c r="MB6" s="29"/>
      <c r="MC6" s="29"/>
      <c r="MD6" s="29"/>
      <c r="ME6" s="29"/>
      <c r="MF6" s="29"/>
      <c r="MG6" s="29"/>
      <c r="MH6" s="29"/>
      <c r="MI6" s="29"/>
      <c r="MJ6" s="29"/>
      <c r="MK6" s="29"/>
      <c r="ML6" s="29"/>
      <c r="MM6" s="29"/>
      <c r="MN6" s="29"/>
      <c r="MO6" s="29"/>
      <c r="MP6" s="29"/>
      <c r="MQ6" s="29"/>
      <c r="MR6" s="29"/>
      <c r="MS6" s="29"/>
      <c r="MT6" s="29"/>
      <c r="MU6" s="29"/>
      <c r="MV6" s="29"/>
      <c r="MW6" s="29"/>
      <c r="MX6" s="29"/>
      <c r="MY6" s="29"/>
      <c r="MZ6" s="29"/>
      <c r="NA6" s="29"/>
      <c r="NB6" s="29"/>
      <c r="NC6" s="29"/>
      <c r="ND6" s="29"/>
      <c r="NE6" s="30"/>
      <c r="NF6" s="21"/>
      <c r="NG6" s="9"/>
      <c r="NH6" s="9"/>
      <c r="NI6" s="9"/>
      <c r="NJ6" s="9"/>
    </row>
    <row r="7" spans="1:427" s="5" customFormat="1" ht="17.25" customHeight="1" x14ac:dyDescent="0.25">
      <c r="A7" s="62"/>
      <c r="B7" s="63"/>
      <c r="C7" s="64"/>
      <c r="D7" s="64"/>
      <c r="E7" s="65"/>
      <c r="F7" s="3"/>
      <c r="G7" s="57" t="str">
        <f t="shared" ref="G7:BR7" si="0">IF(AND(DAY(G9)=15,G4&lt;7),G9,IF(AND(DAY(G9)=16,G4=1),G9,""))</f>
        <v/>
      </c>
      <c r="H7" s="57" t="str">
        <f t="shared" si="0"/>
        <v/>
      </c>
      <c r="I7" s="57" t="str">
        <f t="shared" si="0"/>
        <v/>
      </c>
      <c r="J7" s="57" t="str">
        <f t="shared" si="0"/>
        <v/>
      </c>
      <c r="K7" s="57" t="str">
        <f t="shared" si="0"/>
        <v/>
      </c>
      <c r="L7" s="57" t="str">
        <f t="shared" si="0"/>
        <v/>
      </c>
      <c r="M7" s="57" t="str">
        <f t="shared" si="0"/>
        <v/>
      </c>
      <c r="N7" s="57" t="str">
        <f t="shared" si="0"/>
        <v/>
      </c>
      <c r="O7" s="57" t="str">
        <f t="shared" si="0"/>
        <v/>
      </c>
      <c r="P7" s="57" t="str">
        <f t="shared" si="0"/>
        <v/>
      </c>
      <c r="Q7" s="57" t="str">
        <f t="shared" si="0"/>
        <v/>
      </c>
      <c r="R7" s="57" t="str">
        <f t="shared" si="0"/>
        <v/>
      </c>
      <c r="S7" s="57" t="str">
        <f t="shared" si="0"/>
        <v/>
      </c>
      <c r="T7" s="57" t="str">
        <f t="shared" si="0"/>
        <v/>
      </c>
      <c r="U7" s="57">
        <f t="shared" si="0"/>
        <v>43115</v>
      </c>
      <c r="V7" s="57" t="str">
        <f t="shared" si="0"/>
        <v/>
      </c>
      <c r="W7" s="57" t="str">
        <f t="shared" si="0"/>
        <v/>
      </c>
      <c r="X7" s="57" t="str">
        <f t="shared" si="0"/>
        <v/>
      </c>
      <c r="Y7" s="57" t="str">
        <f t="shared" si="0"/>
        <v/>
      </c>
      <c r="Z7" s="57" t="str">
        <f t="shared" si="0"/>
        <v/>
      </c>
      <c r="AA7" s="57" t="str">
        <f t="shared" si="0"/>
        <v/>
      </c>
      <c r="AB7" s="57" t="str">
        <f t="shared" si="0"/>
        <v/>
      </c>
      <c r="AC7" s="57" t="str">
        <f t="shared" si="0"/>
        <v/>
      </c>
      <c r="AD7" s="57" t="str">
        <f t="shared" si="0"/>
        <v/>
      </c>
      <c r="AE7" s="57" t="str">
        <f t="shared" si="0"/>
        <v/>
      </c>
      <c r="AF7" s="57" t="str">
        <f t="shared" si="0"/>
        <v/>
      </c>
      <c r="AG7" s="57" t="str">
        <f t="shared" si="0"/>
        <v/>
      </c>
      <c r="AH7" s="57" t="str">
        <f t="shared" si="0"/>
        <v/>
      </c>
      <c r="AI7" s="57" t="str">
        <f t="shared" si="0"/>
        <v/>
      </c>
      <c r="AJ7" s="57" t="str">
        <f t="shared" si="0"/>
        <v/>
      </c>
      <c r="AK7" s="57" t="str">
        <f t="shared" si="0"/>
        <v/>
      </c>
      <c r="AL7" s="10" t="str">
        <f t="shared" si="0"/>
        <v/>
      </c>
      <c r="AM7" s="10" t="str">
        <f t="shared" si="0"/>
        <v/>
      </c>
      <c r="AN7" s="10" t="str">
        <f t="shared" si="0"/>
        <v/>
      </c>
      <c r="AO7" s="10" t="str">
        <f t="shared" si="0"/>
        <v/>
      </c>
      <c r="AP7" s="10" t="str">
        <f t="shared" si="0"/>
        <v/>
      </c>
      <c r="AQ7" s="10" t="str">
        <f t="shared" si="0"/>
        <v/>
      </c>
      <c r="AR7" s="10" t="str">
        <f t="shared" si="0"/>
        <v/>
      </c>
      <c r="AS7" s="10" t="str">
        <f t="shared" si="0"/>
        <v/>
      </c>
      <c r="AT7" s="10" t="str">
        <f t="shared" si="0"/>
        <v/>
      </c>
      <c r="AU7" s="10" t="str">
        <f t="shared" si="0"/>
        <v/>
      </c>
      <c r="AV7" s="10" t="str">
        <f t="shared" si="0"/>
        <v/>
      </c>
      <c r="AW7" s="10" t="str">
        <f t="shared" si="0"/>
        <v/>
      </c>
      <c r="AX7" s="10" t="str">
        <f t="shared" si="0"/>
        <v/>
      </c>
      <c r="AY7" s="10" t="str">
        <f t="shared" si="0"/>
        <v/>
      </c>
      <c r="AZ7" s="10">
        <f t="shared" si="0"/>
        <v>43146</v>
      </c>
      <c r="BA7" s="10" t="str">
        <f t="shared" si="0"/>
        <v/>
      </c>
      <c r="BB7" s="10" t="str">
        <f t="shared" si="0"/>
        <v/>
      </c>
      <c r="BC7" s="10" t="str">
        <f t="shared" si="0"/>
        <v/>
      </c>
      <c r="BD7" s="10" t="str">
        <f t="shared" si="0"/>
        <v/>
      </c>
      <c r="BE7" s="10" t="str">
        <f t="shared" si="0"/>
        <v/>
      </c>
      <c r="BF7" s="10" t="str">
        <f t="shared" si="0"/>
        <v/>
      </c>
      <c r="BG7" s="10" t="str">
        <f t="shared" si="0"/>
        <v/>
      </c>
      <c r="BH7" s="10" t="str">
        <f t="shared" si="0"/>
        <v/>
      </c>
      <c r="BI7" s="10" t="str">
        <f t="shared" si="0"/>
        <v/>
      </c>
      <c r="BJ7" s="10" t="str">
        <f t="shared" si="0"/>
        <v/>
      </c>
      <c r="BK7" s="10" t="str">
        <f t="shared" si="0"/>
        <v/>
      </c>
      <c r="BL7" s="10" t="str">
        <f t="shared" si="0"/>
        <v/>
      </c>
      <c r="BM7" s="10" t="str">
        <f t="shared" si="0"/>
        <v/>
      </c>
      <c r="BN7" s="10" t="str">
        <f t="shared" si="0"/>
        <v/>
      </c>
      <c r="BO7" s="10" t="str">
        <f t="shared" si="0"/>
        <v/>
      </c>
      <c r="BP7" s="10" t="str">
        <f t="shared" si="0"/>
        <v/>
      </c>
      <c r="BQ7" s="10" t="str">
        <f t="shared" si="0"/>
        <v/>
      </c>
      <c r="BR7" s="10" t="str">
        <f t="shared" si="0"/>
        <v/>
      </c>
      <c r="BS7" s="10" t="str">
        <f t="shared" ref="BS7:ED7" si="1">IF(AND(DAY(BS9)=15,BS4&lt;7),BS9,IF(AND(DAY(BS9)=16,BS4=1),BS9,""))</f>
        <v/>
      </c>
      <c r="BT7" s="10" t="str">
        <f t="shared" si="1"/>
        <v/>
      </c>
      <c r="BU7" s="10" t="str">
        <f t="shared" si="1"/>
        <v/>
      </c>
      <c r="BV7" s="10" t="str">
        <f t="shared" si="1"/>
        <v/>
      </c>
      <c r="BW7" s="10" t="str">
        <f t="shared" si="1"/>
        <v/>
      </c>
      <c r="BX7" s="10" t="str">
        <f t="shared" si="1"/>
        <v/>
      </c>
      <c r="BY7" s="10" t="str">
        <f t="shared" si="1"/>
        <v/>
      </c>
      <c r="BZ7" s="10" t="str">
        <f t="shared" si="1"/>
        <v/>
      </c>
      <c r="CA7" s="10" t="str">
        <f t="shared" si="1"/>
        <v/>
      </c>
      <c r="CB7" s="10">
        <f t="shared" si="1"/>
        <v>43174</v>
      </c>
      <c r="CC7" s="10" t="str">
        <f t="shared" si="1"/>
        <v/>
      </c>
      <c r="CD7" s="10" t="str">
        <f t="shared" si="1"/>
        <v/>
      </c>
      <c r="CE7" s="10" t="str">
        <f t="shared" si="1"/>
        <v/>
      </c>
      <c r="CF7" s="10" t="str">
        <f t="shared" si="1"/>
        <v/>
      </c>
      <c r="CG7" s="10" t="str">
        <f t="shared" si="1"/>
        <v/>
      </c>
      <c r="CH7" s="10" t="str">
        <f t="shared" si="1"/>
        <v/>
      </c>
      <c r="CI7" s="10" t="str">
        <f t="shared" si="1"/>
        <v/>
      </c>
      <c r="CJ7" s="10" t="str">
        <f t="shared" si="1"/>
        <v/>
      </c>
      <c r="CK7" s="10" t="str">
        <f t="shared" si="1"/>
        <v/>
      </c>
      <c r="CL7" s="10" t="str">
        <f t="shared" si="1"/>
        <v/>
      </c>
      <c r="CM7" s="10" t="str">
        <f t="shared" si="1"/>
        <v/>
      </c>
      <c r="CN7" s="10" t="str">
        <f t="shared" si="1"/>
        <v/>
      </c>
      <c r="CO7" s="10" t="str">
        <f t="shared" si="1"/>
        <v/>
      </c>
      <c r="CP7" s="10" t="str">
        <f t="shared" si="1"/>
        <v/>
      </c>
      <c r="CQ7" s="10" t="str">
        <f t="shared" si="1"/>
        <v/>
      </c>
      <c r="CR7" s="10" t="str">
        <f t="shared" si="1"/>
        <v/>
      </c>
      <c r="CS7" s="10" t="str">
        <f t="shared" si="1"/>
        <v/>
      </c>
      <c r="CT7" s="10" t="str">
        <f t="shared" si="1"/>
        <v/>
      </c>
      <c r="CU7" s="10" t="str">
        <f t="shared" si="1"/>
        <v/>
      </c>
      <c r="CV7" s="10" t="str">
        <f t="shared" si="1"/>
        <v/>
      </c>
      <c r="CW7" s="10" t="str">
        <f t="shared" si="1"/>
        <v/>
      </c>
      <c r="CX7" s="10" t="str">
        <f t="shared" si="1"/>
        <v/>
      </c>
      <c r="CY7" s="10" t="str">
        <f t="shared" si="1"/>
        <v/>
      </c>
      <c r="CZ7" s="10" t="str">
        <f t="shared" si="1"/>
        <v/>
      </c>
      <c r="DA7" s="10" t="str">
        <f t="shared" si="1"/>
        <v/>
      </c>
      <c r="DB7" s="10" t="str">
        <f t="shared" si="1"/>
        <v/>
      </c>
      <c r="DC7" s="10" t="str">
        <f t="shared" si="1"/>
        <v/>
      </c>
      <c r="DD7" s="10" t="str">
        <f t="shared" si="1"/>
        <v/>
      </c>
      <c r="DE7" s="10" t="str">
        <f t="shared" si="1"/>
        <v/>
      </c>
      <c r="DF7" s="10" t="str">
        <f t="shared" si="1"/>
        <v/>
      </c>
      <c r="DG7" s="10" t="str">
        <f t="shared" si="1"/>
        <v/>
      </c>
      <c r="DH7" s="10">
        <f t="shared" si="1"/>
        <v>43206</v>
      </c>
      <c r="DI7" s="10" t="str">
        <f t="shared" si="1"/>
        <v/>
      </c>
      <c r="DJ7" s="10" t="str">
        <f t="shared" si="1"/>
        <v/>
      </c>
      <c r="DK7" s="10" t="str">
        <f t="shared" si="1"/>
        <v/>
      </c>
      <c r="DL7" s="10" t="str">
        <f t="shared" si="1"/>
        <v/>
      </c>
      <c r="DM7" s="10" t="str">
        <f t="shared" si="1"/>
        <v/>
      </c>
      <c r="DN7" s="10" t="str">
        <f t="shared" si="1"/>
        <v/>
      </c>
      <c r="DO7" s="10" t="str">
        <f t="shared" si="1"/>
        <v/>
      </c>
      <c r="DP7" s="10" t="str">
        <f t="shared" si="1"/>
        <v/>
      </c>
      <c r="DQ7" s="10" t="str">
        <f t="shared" si="1"/>
        <v/>
      </c>
      <c r="DR7" s="10" t="str">
        <f t="shared" si="1"/>
        <v/>
      </c>
      <c r="DS7" s="10" t="str">
        <f t="shared" si="1"/>
        <v/>
      </c>
      <c r="DT7" s="10" t="str">
        <f t="shared" si="1"/>
        <v/>
      </c>
      <c r="DU7" s="10" t="str">
        <f t="shared" si="1"/>
        <v/>
      </c>
      <c r="DV7" s="10" t="str">
        <f t="shared" si="1"/>
        <v/>
      </c>
      <c r="DW7" s="10" t="str">
        <f t="shared" si="1"/>
        <v/>
      </c>
      <c r="DX7" s="10" t="str">
        <f t="shared" si="1"/>
        <v/>
      </c>
      <c r="DY7" s="10" t="str">
        <f t="shared" si="1"/>
        <v/>
      </c>
      <c r="DZ7" s="10" t="str">
        <f t="shared" si="1"/>
        <v/>
      </c>
      <c r="EA7" s="10" t="str">
        <f t="shared" si="1"/>
        <v/>
      </c>
      <c r="EB7" s="10" t="str">
        <f t="shared" si="1"/>
        <v/>
      </c>
      <c r="EC7" s="10" t="str">
        <f t="shared" si="1"/>
        <v/>
      </c>
      <c r="ED7" s="10" t="str">
        <f t="shared" si="1"/>
        <v/>
      </c>
      <c r="EE7" s="10" t="str">
        <f t="shared" ref="EE7:GP7" si="2">IF(AND(DAY(EE9)=15,EE4&lt;7),EE9,IF(AND(DAY(EE9)=16,EE4=1),EE9,""))</f>
        <v/>
      </c>
      <c r="EF7" s="10" t="str">
        <f t="shared" si="2"/>
        <v/>
      </c>
      <c r="EG7" s="10" t="str">
        <f t="shared" si="2"/>
        <v/>
      </c>
      <c r="EH7" s="10" t="str">
        <f t="shared" si="2"/>
        <v/>
      </c>
      <c r="EI7" s="10" t="str">
        <f t="shared" si="2"/>
        <v/>
      </c>
      <c r="EJ7" s="10" t="str">
        <f t="shared" si="2"/>
        <v/>
      </c>
      <c r="EK7" s="10">
        <f t="shared" si="2"/>
        <v>43235</v>
      </c>
      <c r="EL7" s="10" t="str">
        <f t="shared" si="2"/>
        <v/>
      </c>
      <c r="EM7" s="10" t="str">
        <f t="shared" si="2"/>
        <v/>
      </c>
      <c r="EN7" s="10" t="str">
        <f t="shared" si="2"/>
        <v/>
      </c>
      <c r="EO7" s="10" t="str">
        <f t="shared" si="2"/>
        <v/>
      </c>
      <c r="EP7" s="10" t="str">
        <f t="shared" si="2"/>
        <v/>
      </c>
      <c r="EQ7" s="10" t="str">
        <f t="shared" si="2"/>
        <v/>
      </c>
      <c r="ER7" s="10" t="str">
        <f t="shared" si="2"/>
        <v/>
      </c>
      <c r="ES7" s="10" t="str">
        <f t="shared" si="2"/>
        <v/>
      </c>
      <c r="ET7" s="10" t="str">
        <f t="shared" si="2"/>
        <v/>
      </c>
      <c r="EU7" s="10" t="str">
        <f t="shared" si="2"/>
        <v/>
      </c>
      <c r="EV7" s="10" t="str">
        <f t="shared" si="2"/>
        <v/>
      </c>
      <c r="EW7" s="10" t="str">
        <f t="shared" si="2"/>
        <v/>
      </c>
      <c r="EX7" s="10" t="str">
        <f t="shared" si="2"/>
        <v/>
      </c>
      <c r="EY7" s="10" t="str">
        <f t="shared" si="2"/>
        <v/>
      </c>
      <c r="EZ7" s="10" t="str">
        <f t="shared" si="2"/>
        <v/>
      </c>
      <c r="FA7" s="10" t="str">
        <f t="shared" si="2"/>
        <v/>
      </c>
      <c r="FB7" s="10" t="str">
        <f t="shared" si="2"/>
        <v/>
      </c>
      <c r="FC7" s="10" t="str">
        <f t="shared" si="2"/>
        <v/>
      </c>
      <c r="FD7" s="10" t="str">
        <f t="shared" si="2"/>
        <v/>
      </c>
      <c r="FE7" s="10" t="str">
        <f t="shared" si="2"/>
        <v/>
      </c>
      <c r="FF7" s="10" t="str">
        <f t="shared" si="2"/>
        <v/>
      </c>
      <c r="FG7" s="10" t="str">
        <f t="shared" si="2"/>
        <v/>
      </c>
      <c r="FH7" s="10" t="str">
        <f t="shared" si="2"/>
        <v/>
      </c>
      <c r="FI7" s="10" t="str">
        <f t="shared" si="2"/>
        <v/>
      </c>
      <c r="FJ7" s="10" t="str">
        <f t="shared" si="2"/>
        <v/>
      </c>
      <c r="FK7" s="10" t="str">
        <f t="shared" si="2"/>
        <v/>
      </c>
      <c r="FL7" s="10" t="str">
        <f t="shared" si="2"/>
        <v/>
      </c>
      <c r="FM7" s="10" t="str">
        <f t="shared" si="2"/>
        <v/>
      </c>
      <c r="FN7" s="10" t="str">
        <f t="shared" si="2"/>
        <v/>
      </c>
      <c r="FO7" s="10" t="str">
        <f t="shared" si="2"/>
        <v/>
      </c>
      <c r="FP7" s="10">
        <f t="shared" si="2"/>
        <v>43266</v>
      </c>
      <c r="FQ7" s="10" t="str">
        <f t="shared" si="2"/>
        <v/>
      </c>
      <c r="FR7" s="10" t="str">
        <f t="shared" si="2"/>
        <v/>
      </c>
      <c r="FS7" s="10" t="str">
        <f t="shared" si="2"/>
        <v/>
      </c>
      <c r="FT7" s="10" t="str">
        <f t="shared" si="2"/>
        <v/>
      </c>
      <c r="FU7" s="10" t="str">
        <f t="shared" si="2"/>
        <v/>
      </c>
      <c r="FV7" s="10" t="str">
        <f t="shared" si="2"/>
        <v/>
      </c>
      <c r="FW7" s="10" t="str">
        <f t="shared" si="2"/>
        <v/>
      </c>
      <c r="FX7" s="10" t="str">
        <f t="shared" si="2"/>
        <v/>
      </c>
      <c r="FY7" s="10" t="str">
        <f t="shared" si="2"/>
        <v/>
      </c>
      <c r="FZ7" s="10" t="str">
        <f t="shared" si="2"/>
        <v/>
      </c>
      <c r="GA7" s="10" t="str">
        <f t="shared" si="2"/>
        <v/>
      </c>
      <c r="GB7" s="10" t="str">
        <f t="shared" si="2"/>
        <v/>
      </c>
      <c r="GC7" s="10" t="str">
        <f t="shared" si="2"/>
        <v/>
      </c>
      <c r="GD7" s="10" t="str">
        <f t="shared" si="2"/>
        <v/>
      </c>
      <c r="GE7" s="10" t="str">
        <f t="shared" si="2"/>
        <v/>
      </c>
      <c r="GF7" s="10" t="str">
        <f t="shared" si="2"/>
        <v/>
      </c>
      <c r="GG7" s="10" t="str">
        <f t="shared" si="2"/>
        <v/>
      </c>
      <c r="GH7" s="10" t="str">
        <f t="shared" si="2"/>
        <v/>
      </c>
      <c r="GI7" s="10" t="str">
        <f t="shared" si="2"/>
        <v/>
      </c>
      <c r="GJ7" s="10" t="str">
        <f t="shared" si="2"/>
        <v/>
      </c>
      <c r="GK7" s="10" t="str">
        <f t="shared" si="2"/>
        <v/>
      </c>
      <c r="GL7" s="10" t="str">
        <f t="shared" si="2"/>
        <v/>
      </c>
      <c r="GM7" s="10" t="str">
        <f t="shared" si="2"/>
        <v/>
      </c>
      <c r="GN7" s="10" t="str">
        <f t="shared" si="2"/>
        <v/>
      </c>
      <c r="GO7" s="10" t="str">
        <f t="shared" si="2"/>
        <v/>
      </c>
      <c r="GP7" s="10" t="str">
        <f t="shared" si="2"/>
        <v/>
      </c>
      <c r="GQ7" s="10" t="str">
        <f t="shared" ref="GQ7:JB7" si="3">IF(AND(DAY(GQ9)=15,GQ4&lt;7),GQ9,IF(AND(DAY(GQ9)=16,GQ4=1),GQ9,""))</f>
        <v/>
      </c>
      <c r="GR7" s="10" t="str">
        <f t="shared" si="3"/>
        <v/>
      </c>
      <c r="GS7" s="10" t="str">
        <f t="shared" si="3"/>
        <v/>
      </c>
      <c r="GT7" s="10" t="str">
        <f t="shared" si="3"/>
        <v/>
      </c>
      <c r="GU7" s="10">
        <f t="shared" si="3"/>
        <v>43297</v>
      </c>
      <c r="GV7" s="10" t="str">
        <f t="shared" si="3"/>
        <v/>
      </c>
      <c r="GW7" s="10" t="str">
        <f t="shared" si="3"/>
        <v/>
      </c>
      <c r="GX7" s="10" t="str">
        <f t="shared" si="3"/>
        <v/>
      </c>
      <c r="GY7" s="10" t="str">
        <f t="shared" si="3"/>
        <v/>
      </c>
      <c r="GZ7" s="10" t="str">
        <f t="shared" si="3"/>
        <v/>
      </c>
      <c r="HA7" s="10" t="str">
        <f t="shared" si="3"/>
        <v/>
      </c>
      <c r="HB7" s="10" t="str">
        <f t="shared" si="3"/>
        <v/>
      </c>
      <c r="HC7" s="10" t="str">
        <f t="shared" si="3"/>
        <v/>
      </c>
      <c r="HD7" s="10" t="str">
        <f t="shared" si="3"/>
        <v/>
      </c>
      <c r="HE7" s="10" t="str">
        <f t="shared" si="3"/>
        <v/>
      </c>
      <c r="HF7" s="10" t="str">
        <f t="shared" si="3"/>
        <v/>
      </c>
      <c r="HG7" s="10" t="str">
        <f t="shared" si="3"/>
        <v/>
      </c>
      <c r="HH7" s="10" t="str">
        <f t="shared" si="3"/>
        <v/>
      </c>
      <c r="HI7" s="10" t="str">
        <f t="shared" si="3"/>
        <v/>
      </c>
      <c r="HJ7" s="10" t="str">
        <f t="shared" si="3"/>
        <v/>
      </c>
      <c r="HK7" s="10" t="str">
        <f t="shared" si="3"/>
        <v/>
      </c>
      <c r="HL7" s="10" t="str">
        <f t="shared" si="3"/>
        <v/>
      </c>
      <c r="HM7" s="10" t="str">
        <f t="shared" si="3"/>
        <v/>
      </c>
      <c r="HN7" s="10" t="str">
        <f t="shared" si="3"/>
        <v/>
      </c>
      <c r="HO7" s="10" t="str">
        <f t="shared" si="3"/>
        <v/>
      </c>
      <c r="HP7" s="10" t="str">
        <f t="shared" si="3"/>
        <v/>
      </c>
      <c r="HQ7" s="10" t="str">
        <f t="shared" si="3"/>
        <v/>
      </c>
      <c r="HR7" s="10" t="str">
        <f t="shared" si="3"/>
        <v/>
      </c>
      <c r="HS7" s="10" t="str">
        <f t="shared" si="3"/>
        <v/>
      </c>
      <c r="HT7" s="10" t="str">
        <f t="shared" si="3"/>
        <v/>
      </c>
      <c r="HU7" s="10" t="str">
        <f t="shared" si="3"/>
        <v/>
      </c>
      <c r="HV7" s="10" t="str">
        <f t="shared" si="3"/>
        <v/>
      </c>
      <c r="HW7" s="10" t="str">
        <f t="shared" si="3"/>
        <v/>
      </c>
      <c r="HX7" s="10" t="str">
        <f t="shared" si="3"/>
        <v/>
      </c>
      <c r="HY7" s="10">
        <f t="shared" si="3"/>
        <v>43327</v>
      </c>
      <c r="HZ7" s="10" t="str">
        <f t="shared" si="3"/>
        <v/>
      </c>
      <c r="IA7" s="10" t="str">
        <f t="shared" si="3"/>
        <v/>
      </c>
      <c r="IB7" s="10" t="str">
        <f t="shared" si="3"/>
        <v/>
      </c>
      <c r="IC7" s="10" t="str">
        <f t="shared" si="3"/>
        <v/>
      </c>
      <c r="ID7" s="10" t="str">
        <f t="shared" si="3"/>
        <v/>
      </c>
      <c r="IE7" s="10" t="str">
        <f t="shared" si="3"/>
        <v/>
      </c>
      <c r="IF7" s="10" t="str">
        <f t="shared" si="3"/>
        <v/>
      </c>
      <c r="IG7" s="10" t="str">
        <f t="shared" si="3"/>
        <v/>
      </c>
      <c r="IH7" s="10" t="str">
        <f t="shared" si="3"/>
        <v/>
      </c>
      <c r="II7" s="10" t="str">
        <f t="shared" si="3"/>
        <v/>
      </c>
      <c r="IJ7" s="10" t="str">
        <f t="shared" si="3"/>
        <v/>
      </c>
      <c r="IK7" s="10" t="str">
        <f t="shared" si="3"/>
        <v/>
      </c>
      <c r="IL7" s="10" t="str">
        <f t="shared" si="3"/>
        <v/>
      </c>
      <c r="IM7" s="10" t="str">
        <f t="shared" si="3"/>
        <v/>
      </c>
      <c r="IN7" s="10" t="str">
        <f t="shared" si="3"/>
        <v/>
      </c>
      <c r="IO7" s="10" t="str">
        <f t="shared" si="3"/>
        <v/>
      </c>
      <c r="IP7" s="10" t="str">
        <f t="shared" si="3"/>
        <v/>
      </c>
      <c r="IQ7" s="10" t="str">
        <f t="shared" si="3"/>
        <v/>
      </c>
      <c r="IR7" s="10" t="str">
        <f t="shared" si="3"/>
        <v/>
      </c>
      <c r="IS7" s="10" t="str">
        <f t="shared" si="3"/>
        <v/>
      </c>
      <c r="IT7" s="10" t="str">
        <f t="shared" si="3"/>
        <v/>
      </c>
      <c r="IU7" s="10" t="str">
        <f t="shared" si="3"/>
        <v/>
      </c>
      <c r="IV7" s="10" t="str">
        <f t="shared" si="3"/>
        <v/>
      </c>
      <c r="IW7" s="10" t="str">
        <f t="shared" si="3"/>
        <v/>
      </c>
      <c r="IX7" s="10" t="str">
        <f t="shared" si="3"/>
        <v/>
      </c>
      <c r="IY7" s="10" t="str">
        <f t="shared" si="3"/>
        <v/>
      </c>
      <c r="IZ7" s="10" t="str">
        <f t="shared" si="3"/>
        <v/>
      </c>
      <c r="JA7" s="10" t="str">
        <f t="shared" si="3"/>
        <v/>
      </c>
      <c r="JB7" s="10" t="str">
        <f t="shared" si="3"/>
        <v/>
      </c>
      <c r="JC7" s="10" t="str">
        <f t="shared" ref="JC7:LN7" si="4">IF(AND(DAY(JC9)=15,JC4&lt;7),JC9,IF(AND(DAY(JC9)=16,JC4=1),JC9,""))</f>
        <v/>
      </c>
      <c r="JD7" s="10">
        <f t="shared" si="4"/>
        <v>43358</v>
      </c>
      <c r="JE7" s="10" t="str">
        <f t="shared" si="4"/>
        <v/>
      </c>
      <c r="JF7" s="10" t="str">
        <f t="shared" si="4"/>
        <v/>
      </c>
      <c r="JG7" s="10" t="str">
        <f t="shared" si="4"/>
        <v/>
      </c>
      <c r="JH7" s="10" t="str">
        <f t="shared" si="4"/>
        <v/>
      </c>
      <c r="JI7" s="10" t="str">
        <f t="shared" si="4"/>
        <v/>
      </c>
      <c r="JJ7" s="10" t="str">
        <f t="shared" si="4"/>
        <v/>
      </c>
      <c r="JK7" s="10" t="str">
        <f t="shared" si="4"/>
        <v/>
      </c>
      <c r="JL7" s="10" t="str">
        <f t="shared" si="4"/>
        <v/>
      </c>
      <c r="JM7" s="10" t="str">
        <f t="shared" si="4"/>
        <v/>
      </c>
      <c r="JN7" s="10" t="str">
        <f t="shared" si="4"/>
        <v/>
      </c>
      <c r="JO7" s="10" t="str">
        <f t="shared" si="4"/>
        <v/>
      </c>
      <c r="JP7" s="10" t="str">
        <f t="shared" si="4"/>
        <v/>
      </c>
      <c r="JQ7" s="10" t="str">
        <f t="shared" si="4"/>
        <v/>
      </c>
      <c r="JR7" s="10" t="str">
        <f t="shared" si="4"/>
        <v/>
      </c>
      <c r="JS7" s="10" t="str">
        <f t="shared" si="4"/>
        <v/>
      </c>
      <c r="JT7" s="10" t="str">
        <f t="shared" si="4"/>
        <v/>
      </c>
      <c r="JU7" s="10" t="str">
        <f t="shared" si="4"/>
        <v/>
      </c>
      <c r="JV7" s="10" t="str">
        <f t="shared" si="4"/>
        <v/>
      </c>
      <c r="JW7" s="10" t="str">
        <f t="shared" si="4"/>
        <v/>
      </c>
      <c r="JX7" s="10" t="str">
        <f t="shared" si="4"/>
        <v/>
      </c>
      <c r="JY7" s="10" t="str">
        <f t="shared" si="4"/>
        <v/>
      </c>
      <c r="JZ7" s="10" t="str">
        <f t="shared" si="4"/>
        <v/>
      </c>
      <c r="KA7" s="10" t="str">
        <f t="shared" si="4"/>
        <v/>
      </c>
      <c r="KB7" s="10" t="str">
        <f t="shared" si="4"/>
        <v/>
      </c>
      <c r="KC7" s="10" t="str">
        <f t="shared" si="4"/>
        <v/>
      </c>
      <c r="KD7" s="10" t="str">
        <f t="shared" si="4"/>
        <v/>
      </c>
      <c r="KE7" s="10" t="str">
        <f t="shared" si="4"/>
        <v/>
      </c>
      <c r="KF7" s="10" t="str">
        <f t="shared" si="4"/>
        <v/>
      </c>
      <c r="KG7" s="10" t="str">
        <f t="shared" si="4"/>
        <v/>
      </c>
      <c r="KH7" s="10">
        <f t="shared" si="4"/>
        <v>43388</v>
      </c>
      <c r="KI7" s="10" t="str">
        <f t="shared" si="4"/>
        <v/>
      </c>
      <c r="KJ7" s="10" t="str">
        <f t="shared" si="4"/>
        <v/>
      </c>
      <c r="KK7" s="10" t="str">
        <f t="shared" si="4"/>
        <v/>
      </c>
      <c r="KL7" s="10" t="str">
        <f t="shared" si="4"/>
        <v/>
      </c>
      <c r="KM7" s="10" t="str">
        <f t="shared" si="4"/>
        <v/>
      </c>
      <c r="KN7" s="10" t="str">
        <f t="shared" si="4"/>
        <v/>
      </c>
      <c r="KO7" s="10" t="str">
        <f t="shared" si="4"/>
        <v/>
      </c>
      <c r="KP7" s="10" t="str">
        <f t="shared" si="4"/>
        <v/>
      </c>
      <c r="KQ7" s="10" t="str">
        <f t="shared" si="4"/>
        <v/>
      </c>
      <c r="KR7" s="10" t="str">
        <f t="shared" si="4"/>
        <v/>
      </c>
      <c r="KS7" s="10" t="str">
        <f t="shared" si="4"/>
        <v/>
      </c>
      <c r="KT7" s="10" t="str">
        <f t="shared" si="4"/>
        <v/>
      </c>
      <c r="KU7" s="10" t="str">
        <f t="shared" si="4"/>
        <v/>
      </c>
      <c r="KV7" s="10" t="str">
        <f t="shared" si="4"/>
        <v/>
      </c>
      <c r="KW7" s="10" t="str">
        <f t="shared" si="4"/>
        <v/>
      </c>
      <c r="KX7" s="10" t="str">
        <f t="shared" si="4"/>
        <v/>
      </c>
      <c r="KY7" s="10" t="str">
        <f t="shared" si="4"/>
        <v/>
      </c>
      <c r="KZ7" s="10" t="str">
        <f t="shared" si="4"/>
        <v/>
      </c>
      <c r="LA7" s="10" t="str">
        <f t="shared" si="4"/>
        <v/>
      </c>
      <c r="LB7" s="10" t="str">
        <f t="shared" si="4"/>
        <v/>
      </c>
      <c r="LC7" s="10" t="str">
        <f t="shared" si="4"/>
        <v/>
      </c>
      <c r="LD7" s="10" t="str">
        <f t="shared" si="4"/>
        <v/>
      </c>
      <c r="LE7" s="10" t="str">
        <f t="shared" si="4"/>
        <v/>
      </c>
      <c r="LF7" s="10" t="str">
        <f t="shared" si="4"/>
        <v/>
      </c>
      <c r="LG7" s="10" t="str">
        <f t="shared" si="4"/>
        <v/>
      </c>
      <c r="LH7" s="10" t="str">
        <f t="shared" si="4"/>
        <v/>
      </c>
      <c r="LI7" s="10" t="str">
        <f t="shared" si="4"/>
        <v/>
      </c>
      <c r="LJ7" s="10" t="str">
        <f t="shared" si="4"/>
        <v/>
      </c>
      <c r="LK7" s="10" t="str">
        <f t="shared" si="4"/>
        <v/>
      </c>
      <c r="LL7" s="10" t="str">
        <f t="shared" si="4"/>
        <v/>
      </c>
      <c r="LM7" s="10">
        <f t="shared" si="4"/>
        <v>43419</v>
      </c>
      <c r="LN7" s="10" t="str">
        <f t="shared" si="4"/>
        <v/>
      </c>
      <c r="LO7" s="10" t="str">
        <f t="shared" ref="LO7:NJ7" si="5">IF(AND(DAY(LO9)=15,LO4&lt;7),LO9,IF(AND(DAY(LO9)=16,LO4=1),LO9,""))</f>
        <v/>
      </c>
      <c r="LP7" s="10" t="str">
        <f t="shared" si="5"/>
        <v/>
      </c>
      <c r="LQ7" s="10" t="str">
        <f t="shared" si="5"/>
        <v/>
      </c>
      <c r="LR7" s="10" t="str">
        <f t="shared" si="5"/>
        <v/>
      </c>
      <c r="LS7" s="10" t="str">
        <f t="shared" si="5"/>
        <v/>
      </c>
      <c r="LT7" s="10" t="str">
        <f t="shared" si="5"/>
        <v/>
      </c>
      <c r="LU7" s="10" t="str">
        <f t="shared" si="5"/>
        <v/>
      </c>
      <c r="LV7" s="10" t="str">
        <f t="shared" si="5"/>
        <v/>
      </c>
      <c r="LW7" s="10" t="str">
        <f t="shared" si="5"/>
        <v/>
      </c>
      <c r="LX7" s="10" t="str">
        <f t="shared" si="5"/>
        <v/>
      </c>
      <c r="LY7" s="10" t="str">
        <f t="shared" si="5"/>
        <v/>
      </c>
      <c r="LZ7" s="10" t="str">
        <f t="shared" si="5"/>
        <v/>
      </c>
      <c r="MA7" s="10" t="str">
        <f t="shared" si="5"/>
        <v/>
      </c>
      <c r="MB7" s="10" t="str">
        <f t="shared" si="5"/>
        <v/>
      </c>
      <c r="MC7" s="10" t="str">
        <f t="shared" si="5"/>
        <v/>
      </c>
      <c r="MD7" s="10" t="str">
        <f t="shared" si="5"/>
        <v/>
      </c>
      <c r="ME7" s="10" t="str">
        <f t="shared" si="5"/>
        <v/>
      </c>
      <c r="MF7" s="10" t="str">
        <f t="shared" si="5"/>
        <v/>
      </c>
      <c r="MG7" s="10" t="str">
        <f t="shared" si="5"/>
        <v/>
      </c>
      <c r="MH7" s="10" t="str">
        <f t="shared" si="5"/>
        <v/>
      </c>
      <c r="MI7" s="10" t="str">
        <f t="shared" si="5"/>
        <v/>
      </c>
      <c r="MJ7" s="10" t="str">
        <f t="shared" si="5"/>
        <v/>
      </c>
      <c r="MK7" s="10" t="str">
        <f t="shared" si="5"/>
        <v/>
      </c>
      <c r="ML7" s="10" t="str">
        <f t="shared" si="5"/>
        <v/>
      </c>
      <c r="MM7" s="10" t="str">
        <f t="shared" si="5"/>
        <v/>
      </c>
      <c r="MN7" s="10" t="str">
        <f t="shared" si="5"/>
        <v/>
      </c>
      <c r="MO7" s="10" t="str">
        <f t="shared" si="5"/>
        <v/>
      </c>
      <c r="MP7" s="10" t="str">
        <f t="shared" si="5"/>
        <v/>
      </c>
      <c r="MQ7" s="10">
        <f t="shared" si="5"/>
        <v>43449</v>
      </c>
      <c r="MR7" s="10" t="str">
        <f t="shared" si="5"/>
        <v/>
      </c>
      <c r="MS7" s="10" t="str">
        <f t="shared" si="5"/>
        <v/>
      </c>
      <c r="MT7" s="10" t="str">
        <f t="shared" si="5"/>
        <v/>
      </c>
      <c r="MU7" s="10" t="str">
        <f t="shared" si="5"/>
        <v/>
      </c>
      <c r="MV7" s="10" t="str">
        <f t="shared" si="5"/>
        <v/>
      </c>
      <c r="MW7" s="10" t="str">
        <f t="shared" si="5"/>
        <v/>
      </c>
      <c r="MX7" s="10" t="str">
        <f t="shared" si="5"/>
        <v/>
      </c>
      <c r="MY7" s="10" t="str">
        <f t="shared" si="5"/>
        <v/>
      </c>
      <c r="MZ7" s="10" t="str">
        <f t="shared" si="5"/>
        <v/>
      </c>
      <c r="NA7" s="10" t="str">
        <f t="shared" si="5"/>
        <v/>
      </c>
      <c r="NB7" s="10" t="str">
        <f t="shared" si="5"/>
        <v/>
      </c>
      <c r="NC7" s="10" t="str">
        <f t="shared" si="5"/>
        <v/>
      </c>
      <c r="ND7" s="10" t="str">
        <f t="shared" si="5"/>
        <v/>
      </c>
      <c r="NE7" s="31" t="str">
        <f t="shared" si="5"/>
        <v/>
      </c>
      <c r="NF7" s="10" t="str">
        <f t="shared" si="5"/>
        <v/>
      </c>
      <c r="NG7" s="10" t="str">
        <f t="shared" si="5"/>
        <v/>
      </c>
      <c r="NH7" s="10" t="str">
        <f t="shared" si="5"/>
        <v/>
      </c>
      <c r="NI7" s="10" t="str">
        <f t="shared" si="5"/>
        <v/>
      </c>
      <c r="NJ7" s="10" t="str">
        <f t="shared" si="5"/>
        <v/>
      </c>
      <c r="OH7" s="11"/>
    </row>
    <row r="8" spans="1:427" s="5" customFormat="1" ht="18" customHeight="1" x14ac:dyDescent="0.25">
      <c r="A8" s="66"/>
      <c r="B8" s="67"/>
      <c r="C8" s="68"/>
      <c r="D8" s="68"/>
      <c r="E8" s="69"/>
      <c r="F8" s="3"/>
      <c r="G8" s="12" t="str">
        <f t="shared" ref="G8:BR8" si="6">IF(G4=1,"KW ",IF(G4=2,TRUNC((G9-DATE(YEAR(G9+3-MOD(G9-2,7)),1,MOD(G9-2,7)-9))/7),""))</f>
        <v xml:space="preserve">KW </v>
      </c>
      <c r="H8" s="13">
        <f t="shared" si="6"/>
        <v>1</v>
      </c>
      <c r="I8" s="13" t="str">
        <f t="shared" si="6"/>
        <v/>
      </c>
      <c r="J8" s="13" t="str">
        <f t="shared" si="6"/>
        <v/>
      </c>
      <c r="K8" s="13" t="str">
        <f t="shared" si="6"/>
        <v/>
      </c>
      <c r="L8" s="13" t="str">
        <f t="shared" si="6"/>
        <v/>
      </c>
      <c r="M8" s="13" t="str">
        <f t="shared" si="6"/>
        <v/>
      </c>
      <c r="N8" s="13" t="str">
        <f t="shared" si="6"/>
        <v xml:space="preserve">KW </v>
      </c>
      <c r="O8" s="13">
        <f t="shared" si="6"/>
        <v>2</v>
      </c>
      <c r="P8" s="13" t="str">
        <f t="shared" si="6"/>
        <v/>
      </c>
      <c r="Q8" s="13" t="str">
        <f t="shared" si="6"/>
        <v/>
      </c>
      <c r="R8" s="13" t="str">
        <f t="shared" si="6"/>
        <v/>
      </c>
      <c r="S8" s="13" t="str">
        <f t="shared" si="6"/>
        <v/>
      </c>
      <c r="T8" s="13" t="str">
        <f t="shared" si="6"/>
        <v/>
      </c>
      <c r="U8" s="13" t="str">
        <f t="shared" si="6"/>
        <v xml:space="preserve">KW </v>
      </c>
      <c r="V8" s="13">
        <f t="shared" si="6"/>
        <v>3</v>
      </c>
      <c r="W8" s="13" t="str">
        <f t="shared" si="6"/>
        <v/>
      </c>
      <c r="X8" s="13" t="str">
        <f t="shared" si="6"/>
        <v/>
      </c>
      <c r="Y8" s="13" t="str">
        <f t="shared" si="6"/>
        <v/>
      </c>
      <c r="Z8" s="13" t="str">
        <f t="shared" si="6"/>
        <v/>
      </c>
      <c r="AA8" s="13" t="str">
        <f t="shared" si="6"/>
        <v/>
      </c>
      <c r="AB8" s="13" t="str">
        <f t="shared" si="6"/>
        <v xml:space="preserve">KW </v>
      </c>
      <c r="AC8" s="13">
        <f t="shared" si="6"/>
        <v>4</v>
      </c>
      <c r="AD8" s="13" t="str">
        <f t="shared" si="6"/>
        <v/>
      </c>
      <c r="AE8" s="13" t="str">
        <f t="shared" si="6"/>
        <v/>
      </c>
      <c r="AF8" s="13" t="str">
        <f t="shared" si="6"/>
        <v/>
      </c>
      <c r="AG8" s="13" t="str">
        <f t="shared" si="6"/>
        <v/>
      </c>
      <c r="AH8" s="13" t="str">
        <f t="shared" si="6"/>
        <v/>
      </c>
      <c r="AI8" s="13" t="str">
        <f t="shared" si="6"/>
        <v xml:space="preserve">KW </v>
      </c>
      <c r="AJ8" s="13">
        <f t="shared" si="6"/>
        <v>5</v>
      </c>
      <c r="AK8" s="13" t="str">
        <f t="shared" si="6"/>
        <v/>
      </c>
      <c r="AL8" s="13" t="str">
        <f t="shared" si="6"/>
        <v/>
      </c>
      <c r="AM8" s="13" t="str">
        <f t="shared" si="6"/>
        <v/>
      </c>
      <c r="AN8" s="13" t="str">
        <f t="shared" si="6"/>
        <v/>
      </c>
      <c r="AO8" s="13" t="str">
        <f t="shared" si="6"/>
        <v/>
      </c>
      <c r="AP8" s="13" t="str">
        <f t="shared" si="6"/>
        <v xml:space="preserve">KW </v>
      </c>
      <c r="AQ8" s="13">
        <f t="shared" si="6"/>
        <v>6</v>
      </c>
      <c r="AR8" s="13" t="str">
        <f t="shared" si="6"/>
        <v/>
      </c>
      <c r="AS8" s="13" t="str">
        <f t="shared" si="6"/>
        <v/>
      </c>
      <c r="AT8" s="13" t="str">
        <f t="shared" si="6"/>
        <v/>
      </c>
      <c r="AU8" s="13" t="str">
        <f t="shared" si="6"/>
        <v/>
      </c>
      <c r="AV8" s="13" t="str">
        <f t="shared" si="6"/>
        <v/>
      </c>
      <c r="AW8" s="13" t="str">
        <f t="shared" si="6"/>
        <v xml:space="preserve">KW </v>
      </c>
      <c r="AX8" s="13">
        <f t="shared" si="6"/>
        <v>7</v>
      </c>
      <c r="AY8" s="13" t="str">
        <f t="shared" si="6"/>
        <v/>
      </c>
      <c r="AZ8" s="13" t="str">
        <f t="shared" si="6"/>
        <v/>
      </c>
      <c r="BA8" s="13" t="str">
        <f t="shared" si="6"/>
        <v/>
      </c>
      <c r="BB8" s="13" t="str">
        <f t="shared" si="6"/>
        <v/>
      </c>
      <c r="BC8" s="13" t="str">
        <f t="shared" si="6"/>
        <v/>
      </c>
      <c r="BD8" s="13" t="str">
        <f t="shared" si="6"/>
        <v xml:space="preserve">KW </v>
      </c>
      <c r="BE8" s="13">
        <f t="shared" si="6"/>
        <v>8</v>
      </c>
      <c r="BF8" s="13" t="str">
        <f t="shared" si="6"/>
        <v/>
      </c>
      <c r="BG8" s="13" t="str">
        <f t="shared" si="6"/>
        <v/>
      </c>
      <c r="BH8" s="13" t="str">
        <f t="shared" si="6"/>
        <v/>
      </c>
      <c r="BI8" s="13" t="str">
        <f t="shared" si="6"/>
        <v/>
      </c>
      <c r="BJ8" s="13" t="str">
        <f t="shared" si="6"/>
        <v/>
      </c>
      <c r="BK8" s="13" t="str">
        <f t="shared" si="6"/>
        <v xml:space="preserve">KW </v>
      </c>
      <c r="BL8" s="13">
        <f t="shared" si="6"/>
        <v>9</v>
      </c>
      <c r="BM8" s="13" t="str">
        <f t="shared" si="6"/>
        <v/>
      </c>
      <c r="BN8" s="13" t="str">
        <f t="shared" si="6"/>
        <v/>
      </c>
      <c r="BO8" s="13" t="str">
        <f t="shared" si="6"/>
        <v/>
      </c>
      <c r="BP8" s="13" t="str">
        <f t="shared" si="6"/>
        <v/>
      </c>
      <c r="BQ8" s="13" t="str">
        <f t="shared" si="6"/>
        <v/>
      </c>
      <c r="BR8" s="13" t="str">
        <f t="shared" si="6"/>
        <v xml:space="preserve">KW </v>
      </c>
      <c r="BS8" s="13">
        <f t="shared" ref="BS8:ED8" si="7">IF(BS4=1,"KW ",IF(BS4=2,TRUNC((BS9-DATE(YEAR(BS9+3-MOD(BS9-2,7)),1,MOD(BS9-2,7)-9))/7),""))</f>
        <v>10</v>
      </c>
      <c r="BT8" s="13" t="str">
        <f t="shared" si="7"/>
        <v/>
      </c>
      <c r="BU8" s="13" t="str">
        <f t="shared" si="7"/>
        <v/>
      </c>
      <c r="BV8" s="13" t="str">
        <f t="shared" si="7"/>
        <v/>
      </c>
      <c r="BW8" s="13" t="str">
        <f t="shared" si="7"/>
        <v/>
      </c>
      <c r="BX8" s="13" t="str">
        <f t="shared" si="7"/>
        <v/>
      </c>
      <c r="BY8" s="13" t="str">
        <f t="shared" si="7"/>
        <v xml:space="preserve">KW </v>
      </c>
      <c r="BZ8" s="13">
        <f t="shared" si="7"/>
        <v>11</v>
      </c>
      <c r="CA8" s="13" t="str">
        <f t="shared" si="7"/>
        <v/>
      </c>
      <c r="CB8" s="13" t="str">
        <f t="shared" si="7"/>
        <v/>
      </c>
      <c r="CC8" s="13" t="str">
        <f t="shared" si="7"/>
        <v/>
      </c>
      <c r="CD8" s="13" t="str">
        <f t="shared" si="7"/>
        <v/>
      </c>
      <c r="CE8" s="13" t="str">
        <f t="shared" si="7"/>
        <v/>
      </c>
      <c r="CF8" s="13" t="str">
        <f t="shared" si="7"/>
        <v xml:space="preserve">KW </v>
      </c>
      <c r="CG8" s="13">
        <f t="shared" si="7"/>
        <v>12</v>
      </c>
      <c r="CH8" s="13" t="str">
        <f t="shared" si="7"/>
        <v/>
      </c>
      <c r="CI8" s="13" t="str">
        <f t="shared" si="7"/>
        <v/>
      </c>
      <c r="CJ8" s="13" t="str">
        <f t="shared" si="7"/>
        <v/>
      </c>
      <c r="CK8" s="13" t="str">
        <f t="shared" si="7"/>
        <v/>
      </c>
      <c r="CL8" s="13" t="str">
        <f t="shared" si="7"/>
        <v/>
      </c>
      <c r="CM8" s="13" t="str">
        <f t="shared" si="7"/>
        <v xml:space="preserve">KW </v>
      </c>
      <c r="CN8" s="13">
        <f t="shared" si="7"/>
        <v>13</v>
      </c>
      <c r="CO8" s="13" t="str">
        <f t="shared" si="7"/>
        <v/>
      </c>
      <c r="CP8" s="13" t="str">
        <f t="shared" si="7"/>
        <v/>
      </c>
      <c r="CQ8" s="13" t="str">
        <f t="shared" si="7"/>
        <v/>
      </c>
      <c r="CR8" s="13" t="str">
        <f t="shared" si="7"/>
        <v/>
      </c>
      <c r="CS8" s="13" t="str">
        <f t="shared" si="7"/>
        <v/>
      </c>
      <c r="CT8" s="13" t="str">
        <f t="shared" si="7"/>
        <v xml:space="preserve">KW </v>
      </c>
      <c r="CU8" s="13">
        <f t="shared" si="7"/>
        <v>14</v>
      </c>
      <c r="CV8" s="13" t="str">
        <f t="shared" si="7"/>
        <v/>
      </c>
      <c r="CW8" s="13" t="str">
        <f t="shared" si="7"/>
        <v/>
      </c>
      <c r="CX8" s="13" t="str">
        <f t="shared" si="7"/>
        <v/>
      </c>
      <c r="CY8" s="13" t="str">
        <f t="shared" si="7"/>
        <v/>
      </c>
      <c r="CZ8" s="13" t="str">
        <f t="shared" si="7"/>
        <v/>
      </c>
      <c r="DA8" s="13" t="str">
        <f t="shared" si="7"/>
        <v xml:space="preserve">KW </v>
      </c>
      <c r="DB8" s="13">
        <f t="shared" si="7"/>
        <v>15</v>
      </c>
      <c r="DC8" s="13" t="str">
        <f t="shared" si="7"/>
        <v/>
      </c>
      <c r="DD8" s="13" t="str">
        <f t="shared" si="7"/>
        <v/>
      </c>
      <c r="DE8" s="13" t="str">
        <f t="shared" si="7"/>
        <v/>
      </c>
      <c r="DF8" s="13" t="str">
        <f t="shared" si="7"/>
        <v/>
      </c>
      <c r="DG8" s="13" t="str">
        <f t="shared" si="7"/>
        <v/>
      </c>
      <c r="DH8" s="13" t="str">
        <f t="shared" si="7"/>
        <v xml:space="preserve">KW </v>
      </c>
      <c r="DI8" s="13">
        <f t="shared" si="7"/>
        <v>16</v>
      </c>
      <c r="DJ8" s="13" t="str">
        <f t="shared" si="7"/>
        <v/>
      </c>
      <c r="DK8" s="13" t="str">
        <f t="shared" si="7"/>
        <v/>
      </c>
      <c r="DL8" s="13" t="str">
        <f t="shared" si="7"/>
        <v/>
      </c>
      <c r="DM8" s="13" t="str">
        <f t="shared" si="7"/>
        <v/>
      </c>
      <c r="DN8" s="13" t="str">
        <f t="shared" si="7"/>
        <v/>
      </c>
      <c r="DO8" s="13" t="str">
        <f t="shared" si="7"/>
        <v xml:space="preserve">KW </v>
      </c>
      <c r="DP8" s="13">
        <f t="shared" si="7"/>
        <v>17</v>
      </c>
      <c r="DQ8" s="13" t="str">
        <f t="shared" si="7"/>
        <v/>
      </c>
      <c r="DR8" s="13" t="str">
        <f t="shared" si="7"/>
        <v/>
      </c>
      <c r="DS8" s="13" t="str">
        <f t="shared" si="7"/>
        <v/>
      </c>
      <c r="DT8" s="13" t="str">
        <f t="shared" si="7"/>
        <v/>
      </c>
      <c r="DU8" s="13" t="str">
        <f t="shared" si="7"/>
        <v/>
      </c>
      <c r="DV8" s="13" t="str">
        <f t="shared" si="7"/>
        <v xml:space="preserve">KW </v>
      </c>
      <c r="DW8" s="13">
        <f t="shared" si="7"/>
        <v>18</v>
      </c>
      <c r="DX8" s="13" t="str">
        <f t="shared" si="7"/>
        <v/>
      </c>
      <c r="DY8" s="13" t="str">
        <f t="shared" si="7"/>
        <v/>
      </c>
      <c r="DZ8" s="13" t="str">
        <f t="shared" si="7"/>
        <v/>
      </c>
      <c r="EA8" s="13" t="str">
        <f t="shared" si="7"/>
        <v/>
      </c>
      <c r="EB8" s="13" t="str">
        <f t="shared" si="7"/>
        <v/>
      </c>
      <c r="EC8" s="13" t="str">
        <f t="shared" si="7"/>
        <v xml:space="preserve">KW </v>
      </c>
      <c r="ED8" s="13">
        <f t="shared" si="7"/>
        <v>19</v>
      </c>
      <c r="EE8" s="13" t="str">
        <f t="shared" ref="EE8:GP8" si="8">IF(EE4=1,"KW ",IF(EE4=2,TRUNC((EE9-DATE(YEAR(EE9+3-MOD(EE9-2,7)),1,MOD(EE9-2,7)-9))/7),""))</f>
        <v/>
      </c>
      <c r="EF8" s="13" t="str">
        <f t="shared" si="8"/>
        <v/>
      </c>
      <c r="EG8" s="13" t="str">
        <f t="shared" si="8"/>
        <v/>
      </c>
      <c r="EH8" s="13" t="str">
        <f t="shared" si="8"/>
        <v/>
      </c>
      <c r="EI8" s="13" t="str">
        <f t="shared" si="8"/>
        <v/>
      </c>
      <c r="EJ8" s="13" t="str">
        <f t="shared" si="8"/>
        <v xml:space="preserve">KW </v>
      </c>
      <c r="EK8" s="13">
        <f t="shared" si="8"/>
        <v>20</v>
      </c>
      <c r="EL8" s="13" t="str">
        <f t="shared" si="8"/>
        <v/>
      </c>
      <c r="EM8" s="13" t="str">
        <f t="shared" si="8"/>
        <v/>
      </c>
      <c r="EN8" s="13" t="str">
        <f t="shared" si="8"/>
        <v/>
      </c>
      <c r="EO8" s="13" t="str">
        <f t="shared" si="8"/>
        <v/>
      </c>
      <c r="EP8" s="13" t="str">
        <f t="shared" si="8"/>
        <v/>
      </c>
      <c r="EQ8" s="13" t="str">
        <f t="shared" si="8"/>
        <v xml:space="preserve">KW </v>
      </c>
      <c r="ER8" s="13">
        <f t="shared" si="8"/>
        <v>21</v>
      </c>
      <c r="ES8" s="13" t="str">
        <f t="shared" si="8"/>
        <v/>
      </c>
      <c r="ET8" s="13" t="str">
        <f t="shared" si="8"/>
        <v/>
      </c>
      <c r="EU8" s="13" t="str">
        <f t="shared" si="8"/>
        <v/>
      </c>
      <c r="EV8" s="13" t="str">
        <f t="shared" si="8"/>
        <v/>
      </c>
      <c r="EW8" s="13" t="str">
        <f t="shared" si="8"/>
        <v/>
      </c>
      <c r="EX8" s="13" t="str">
        <f t="shared" si="8"/>
        <v xml:space="preserve">KW </v>
      </c>
      <c r="EY8" s="13">
        <f t="shared" si="8"/>
        <v>22</v>
      </c>
      <c r="EZ8" s="13" t="str">
        <f t="shared" si="8"/>
        <v/>
      </c>
      <c r="FA8" s="13" t="str">
        <f t="shared" si="8"/>
        <v/>
      </c>
      <c r="FB8" s="13" t="str">
        <f t="shared" si="8"/>
        <v/>
      </c>
      <c r="FC8" s="13" t="str">
        <f t="shared" si="8"/>
        <v/>
      </c>
      <c r="FD8" s="13" t="str">
        <f t="shared" si="8"/>
        <v/>
      </c>
      <c r="FE8" s="13" t="str">
        <f t="shared" si="8"/>
        <v xml:space="preserve">KW </v>
      </c>
      <c r="FF8" s="13">
        <f t="shared" si="8"/>
        <v>23</v>
      </c>
      <c r="FG8" s="13" t="str">
        <f t="shared" si="8"/>
        <v/>
      </c>
      <c r="FH8" s="13" t="str">
        <f t="shared" si="8"/>
        <v/>
      </c>
      <c r="FI8" s="13" t="str">
        <f t="shared" si="8"/>
        <v/>
      </c>
      <c r="FJ8" s="13" t="str">
        <f t="shared" si="8"/>
        <v/>
      </c>
      <c r="FK8" s="13" t="str">
        <f t="shared" si="8"/>
        <v/>
      </c>
      <c r="FL8" s="13" t="str">
        <f t="shared" si="8"/>
        <v xml:space="preserve">KW </v>
      </c>
      <c r="FM8" s="13">
        <f t="shared" si="8"/>
        <v>24</v>
      </c>
      <c r="FN8" s="13" t="str">
        <f t="shared" si="8"/>
        <v/>
      </c>
      <c r="FO8" s="13" t="str">
        <f t="shared" si="8"/>
        <v/>
      </c>
      <c r="FP8" s="13" t="str">
        <f t="shared" si="8"/>
        <v/>
      </c>
      <c r="FQ8" s="13" t="str">
        <f t="shared" si="8"/>
        <v/>
      </c>
      <c r="FR8" s="13" t="str">
        <f t="shared" si="8"/>
        <v/>
      </c>
      <c r="FS8" s="13" t="str">
        <f t="shared" si="8"/>
        <v xml:space="preserve">KW </v>
      </c>
      <c r="FT8" s="13">
        <f t="shared" si="8"/>
        <v>25</v>
      </c>
      <c r="FU8" s="13" t="str">
        <f t="shared" si="8"/>
        <v/>
      </c>
      <c r="FV8" s="13" t="str">
        <f t="shared" si="8"/>
        <v/>
      </c>
      <c r="FW8" s="13" t="str">
        <f t="shared" si="8"/>
        <v/>
      </c>
      <c r="FX8" s="13" t="str">
        <f t="shared" si="8"/>
        <v/>
      </c>
      <c r="FY8" s="13" t="str">
        <f t="shared" si="8"/>
        <v/>
      </c>
      <c r="FZ8" s="13" t="str">
        <f t="shared" si="8"/>
        <v xml:space="preserve">KW </v>
      </c>
      <c r="GA8" s="13">
        <f t="shared" si="8"/>
        <v>26</v>
      </c>
      <c r="GB8" s="13" t="str">
        <f t="shared" si="8"/>
        <v/>
      </c>
      <c r="GC8" s="13" t="str">
        <f t="shared" si="8"/>
        <v/>
      </c>
      <c r="GD8" s="13" t="str">
        <f t="shared" si="8"/>
        <v/>
      </c>
      <c r="GE8" s="13" t="str">
        <f t="shared" si="8"/>
        <v/>
      </c>
      <c r="GF8" s="13" t="str">
        <f t="shared" si="8"/>
        <v/>
      </c>
      <c r="GG8" s="13" t="str">
        <f t="shared" si="8"/>
        <v xml:space="preserve">KW </v>
      </c>
      <c r="GH8" s="13">
        <f t="shared" si="8"/>
        <v>27</v>
      </c>
      <c r="GI8" s="13" t="str">
        <f t="shared" si="8"/>
        <v/>
      </c>
      <c r="GJ8" s="13" t="str">
        <f t="shared" si="8"/>
        <v/>
      </c>
      <c r="GK8" s="13" t="str">
        <f t="shared" si="8"/>
        <v/>
      </c>
      <c r="GL8" s="13" t="str">
        <f t="shared" si="8"/>
        <v/>
      </c>
      <c r="GM8" s="13" t="str">
        <f t="shared" si="8"/>
        <v/>
      </c>
      <c r="GN8" s="13" t="str">
        <f t="shared" si="8"/>
        <v xml:space="preserve">KW </v>
      </c>
      <c r="GO8" s="13">
        <f t="shared" si="8"/>
        <v>28</v>
      </c>
      <c r="GP8" s="13" t="str">
        <f t="shared" si="8"/>
        <v/>
      </c>
      <c r="GQ8" s="13" t="str">
        <f t="shared" ref="GQ8:JB8" si="9">IF(GQ4=1,"KW ",IF(GQ4=2,TRUNC((GQ9-DATE(YEAR(GQ9+3-MOD(GQ9-2,7)),1,MOD(GQ9-2,7)-9))/7),""))</f>
        <v/>
      </c>
      <c r="GR8" s="13" t="str">
        <f t="shared" si="9"/>
        <v/>
      </c>
      <c r="GS8" s="13" t="str">
        <f t="shared" si="9"/>
        <v/>
      </c>
      <c r="GT8" s="13" t="str">
        <f t="shared" si="9"/>
        <v/>
      </c>
      <c r="GU8" s="13" t="str">
        <f t="shared" si="9"/>
        <v xml:space="preserve">KW </v>
      </c>
      <c r="GV8" s="13">
        <f t="shared" si="9"/>
        <v>29</v>
      </c>
      <c r="GW8" s="13" t="str">
        <f t="shared" si="9"/>
        <v/>
      </c>
      <c r="GX8" s="13" t="str">
        <f t="shared" si="9"/>
        <v/>
      </c>
      <c r="GY8" s="13" t="str">
        <f t="shared" si="9"/>
        <v/>
      </c>
      <c r="GZ8" s="13" t="str">
        <f t="shared" si="9"/>
        <v/>
      </c>
      <c r="HA8" s="13" t="str">
        <f t="shared" si="9"/>
        <v/>
      </c>
      <c r="HB8" s="13" t="str">
        <f t="shared" si="9"/>
        <v xml:space="preserve">KW </v>
      </c>
      <c r="HC8" s="13">
        <f t="shared" si="9"/>
        <v>30</v>
      </c>
      <c r="HD8" s="13" t="str">
        <f t="shared" si="9"/>
        <v/>
      </c>
      <c r="HE8" s="13" t="str">
        <f t="shared" si="9"/>
        <v/>
      </c>
      <c r="HF8" s="13" t="str">
        <f t="shared" si="9"/>
        <v/>
      </c>
      <c r="HG8" s="13" t="str">
        <f t="shared" si="9"/>
        <v/>
      </c>
      <c r="HH8" s="13" t="str">
        <f t="shared" si="9"/>
        <v/>
      </c>
      <c r="HI8" s="13" t="str">
        <f t="shared" si="9"/>
        <v xml:space="preserve">KW </v>
      </c>
      <c r="HJ8" s="13">
        <f t="shared" si="9"/>
        <v>31</v>
      </c>
      <c r="HK8" s="13" t="str">
        <f t="shared" si="9"/>
        <v/>
      </c>
      <c r="HL8" s="13" t="str">
        <f t="shared" si="9"/>
        <v/>
      </c>
      <c r="HM8" s="13" t="str">
        <f t="shared" si="9"/>
        <v/>
      </c>
      <c r="HN8" s="13" t="str">
        <f t="shared" si="9"/>
        <v/>
      </c>
      <c r="HO8" s="13" t="str">
        <f t="shared" si="9"/>
        <v/>
      </c>
      <c r="HP8" s="13" t="str">
        <f t="shared" si="9"/>
        <v xml:space="preserve">KW </v>
      </c>
      <c r="HQ8" s="13">
        <f t="shared" si="9"/>
        <v>32</v>
      </c>
      <c r="HR8" s="13" t="str">
        <f t="shared" si="9"/>
        <v/>
      </c>
      <c r="HS8" s="13" t="str">
        <f t="shared" si="9"/>
        <v/>
      </c>
      <c r="HT8" s="13" t="str">
        <f t="shared" si="9"/>
        <v/>
      </c>
      <c r="HU8" s="13" t="str">
        <f t="shared" si="9"/>
        <v/>
      </c>
      <c r="HV8" s="13" t="str">
        <f t="shared" si="9"/>
        <v/>
      </c>
      <c r="HW8" s="13" t="str">
        <f t="shared" si="9"/>
        <v xml:space="preserve">KW </v>
      </c>
      <c r="HX8" s="13">
        <f t="shared" si="9"/>
        <v>33</v>
      </c>
      <c r="HY8" s="13" t="str">
        <f t="shared" si="9"/>
        <v/>
      </c>
      <c r="HZ8" s="13" t="str">
        <f t="shared" si="9"/>
        <v/>
      </c>
      <c r="IA8" s="13" t="str">
        <f t="shared" si="9"/>
        <v/>
      </c>
      <c r="IB8" s="13" t="str">
        <f t="shared" si="9"/>
        <v/>
      </c>
      <c r="IC8" s="13" t="str">
        <f t="shared" si="9"/>
        <v/>
      </c>
      <c r="ID8" s="13" t="str">
        <f t="shared" si="9"/>
        <v xml:space="preserve">KW </v>
      </c>
      <c r="IE8" s="13">
        <f t="shared" si="9"/>
        <v>34</v>
      </c>
      <c r="IF8" s="13" t="str">
        <f t="shared" si="9"/>
        <v/>
      </c>
      <c r="IG8" s="13" t="str">
        <f t="shared" si="9"/>
        <v/>
      </c>
      <c r="IH8" s="13" t="str">
        <f t="shared" si="9"/>
        <v/>
      </c>
      <c r="II8" s="13" t="str">
        <f t="shared" si="9"/>
        <v/>
      </c>
      <c r="IJ8" s="13" t="str">
        <f t="shared" si="9"/>
        <v/>
      </c>
      <c r="IK8" s="13" t="str">
        <f t="shared" si="9"/>
        <v xml:space="preserve">KW </v>
      </c>
      <c r="IL8" s="13">
        <f t="shared" si="9"/>
        <v>35</v>
      </c>
      <c r="IM8" s="13" t="str">
        <f t="shared" si="9"/>
        <v/>
      </c>
      <c r="IN8" s="13" t="str">
        <f t="shared" si="9"/>
        <v/>
      </c>
      <c r="IO8" s="13" t="str">
        <f t="shared" si="9"/>
        <v/>
      </c>
      <c r="IP8" s="13" t="str">
        <f t="shared" si="9"/>
        <v/>
      </c>
      <c r="IQ8" s="13" t="str">
        <f t="shared" si="9"/>
        <v/>
      </c>
      <c r="IR8" s="13" t="str">
        <f t="shared" si="9"/>
        <v xml:space="preserve">KW </v>
      </c>
      <c r="IS8" s="13">
        <f t="shared" si="9"/>
        <v>36</v>
      </c>
      <c r="IT8" s="13" t="str">
        <f t="shared" si="9"/>
        <v/>
      </c>
      <c r="IU8" s="13" t="str">
        <f t="shared" si="9"/>
        <v/>
      </c>
      <c r="IV8" s="13" t="str">
        <f t="shared" si="9"/>
        <v/>
      </c>
      <c r="IW8" s="13" t="str">
        <f t="shared" si="9"/>
        <v/>
      </c>
      <c r="IX8" s="13" t="str">
        <f t="shared" si="9"/>
        <v/>
      </c>
      <c r="IY8" s="13" t="str">
        <f t="shared" si="9"/>
        <v xml:space="preserve">KW </v>
      </c>
      <c r="IZ8" s="13">
        <f t="shared" si="9"/>
        <v>37</v>
      </c>
      <c r="JA8" s="13" t="str">
        <f t="shared" si="9"/>
        <v/>
      </c>
      <c r="JB8" s="13" t="str">
        <f t="shared" si="9"/>
        <v/>
      </c>
      <c r="JC8" s="13" t="str">
        <f t="shared" ref="JC8:LN8" si="10">IF(JC4=1,"KW ",IF(JC4=2,TRUNC((JC9-DATE(YEAR(JC9+3-MOD(JC9-2,7)),1,MOD(JC9-2,7)-9))/7),""))</f>
        <v/>
      </c>
      <c r="JD8" s="13" t="str">
        <f t="shared" si="10"/>
        <v/>
      </c>
      <c r="JE8" s="13" t="str">
        <f t="shared" si="10"/>
        <v/>
      </c>
      <c r="JF8" s="13" t="str">
        <f t="shared" si="10"/>
        <v xml:space="preserve">KW </v>
      </c>
      <c r="JG8" s="13">
        <f t="shared" si="10"/>
        <v>38</v>
      </c>
      <c r="JH8" s="13" t="str">
        <f t="shared" si="10"/>
        <v/>
      </c>
      <c r="JI8" s="13" t="str">
        <f t="shared" si="10"/>
        <v/>
      </c>
      <c r="JJ8" s="13" t="str">
        <f t="shared" si="10"/>
        <v/>
      </c>
      <c r="JK8" s="13" t="str">
        <f t="shared" si="10"/>
        <v/>
      </c>
      <c r="JL8" s="13" t="str">
        <f t="shared" si="10"/>
        <v/>
      </c>
      <c r="JM8" s="13" t="str">
        <f t="shared" si="10"/>
        <v xml:space="preserve">KW </v>
      </c>
      <c r="JN8" s="13">
        <f t="shared" si="10"/>
        <v>39</v>
      </c>
      <c r="JO8" s="13" t="str">
        <f t="shared" si="10"/>
        <v/>
      </c>
      <c r="JP8" s="13" t="str">
        <f t="shared" si="10"/>
        <v/>
      </c>
      <c r="JQ8" s="13" t="str">
        <f t="shared" si="10"/>
        <v/>
      </c>
      <c r="JR8" s="13" t="str">
        <f t="shared" si="10"/>
        <v/>
      </c>
      <c r="JS8" s="13" t="str">
        <f t="shared" si="10"/>
        <v/>
      </c>
      <c r="JT8" s="13" t="str">
        <f t="shared" si="10"/>
        <v xml:space="preserve">KW </v>
      </c>
      <c r="JU8" s="13">
        <f t="shared" si="10"/>
        <v>40</v>
      </c>
      <c r="JV8" s="13" t="str">
        <f t="shared" si="10"/>
        <v/>
      </c>
      <c r="JW8" s="13" t="str">
        <f t="shared" si="10"/>
        <v/>
      </c>
      <c r="JX8" s="13" t="str">
        <f t="shared" si="10"/>
        <v/>
      </c>
      <c r="JY8" s="13" t="str">
        <f t="shared" si="10"/>
        <v/>
      </c>
      <c r="JZ8" s="13" t="str">
        <f t="shared" si="10"/>
        <v/>
      </c>
      <c r="KA8" s="13" t="str">
        <f t="shared" si="10"/>
        <v xml:space="preserve">KW </v>
      </c>
      <c r="KB8" s="13">
        <f t="shared" si="10"/>
        <v>41</v>
      </c>
      <c r="KC8" s="13" t="str">
        <f t="shared" si="10"/>
        <v/>
      </c>
      <c r="KD8" s="13" t="str">
        <f t="shared" si="10"/>
        <v/>
      </c>
      <c r="KE8" s="13" t="str">
        <f t="shared" si="10"/>
        <v/>
      </c>
      <c r="KF8" s="13" t="str">
        <f t="shared" si="10"/>
        <v/>
      </c>
      <c r="KG8" s="13" t="str">
        <f t="shared" si="10"/>
        <v/>
      </c>
      <c r="KH8" s="13" t="str">
        <f t="shared" si="10"/>
        <v xml:space="preserve">KW </v>
      </c>
      <c r="KI8" s="13">
        <f t="shared" si="10"/>
        <v>42</v>
      </c>
      <c r="KJ8" s="13" t="str">
        <f t="shared" si="10"/>
        <v/>
      </c>
      <c r="KK8" s="13" t="str">
        <f t="shared" si="10"/>
        <v/>
      </c>
      <c r="KL8" s="13" t="str">
        <f t="shared" si="10"/>
        <v/>
      </c>
      <c r="KM8" s="13" t="str">
        <f t="shared" si="10"/>
        <v/>
      </c>
      <c r="KN8" s="13" t="str">
        <f t="shared" si="10"/>
        <v/>
      </c>
      <c r="KO8" s="13" t="str">
        <f t="shared" si="10"/>
        <v xml:space="preserve">KW </v>
      </c>
      <c r="KP8" s="13">
        <f t="shared" si="10"/>
        <v>43</v>
      </c>
      <c r="KQ8" s="13" t="str">
        <f t="shared" si="10"/>
        <v/>
      </c>
      <c r="KR8" s="13" t="str">
        <f t="shared" si="10"/>
        <v/>
      </c>
      <c r="KS8" s="13" t="str">
        <f t="shared" si="10"/>
        <v/>
      </c>
      <c r="KT8" s="13" t="str">
        <f t="shared" si="10"/>
        <v/>
      </c>
      <c r="KU8" s="13" t="str">
        <f t="shared" si="10"/>
        <v/>
      </c>
      <c r="KV8" s="13" t="str">
        <f t="shared" si="10"/>
        <v xml:space="preserve">KW </v>
      </c>
      <c r="KW8" s="13">
        <f t="shared" si="10"/>
        <v>44</v>
      </c>
      <c r="KX8" s="13" t="str">
        <f t="shared" si="10"/>
        <v/>
      </c>
      <c r="KY8" s="13" t="str">
        <f t="shared" si="10"/>
        <v/>
      </c>
      <c r="KZ8" s="13" t="str">
        <f t="shared" si="10"/>
        <v/>
      </c>
      <c r="LA8" s="13" t="str">
        <f t="shared" si="10"/>
        <v/>
      </c>
      <c r="LB8" s="13" t="str">
        <f t="shared" si="10"/>
        <v/>
      </c>
      <c r="LC8" s="13" t="str">
        <f t="shared" si="10"/>
        <v xml:space="preserve">KW </v>
      </c>
      <c r="LD8" s="13">
        <f t="shared" si="10"/>
        <v>45</v>
      </c>
      <c r="LE8" s="13" t="str">
        <f t="shared" si="10"/>
        <v/>
      </c>
      <c r="LF8" s="13" t="str">
        <f t="shared" si="10"/>
        <v/>
      </c>
      <c r="LG8" s="13" t="str">
        <f t="shared" si="10"/>
        <v/>
      </c>
      <c r="LH8" s="13" t="str">
        <f t="shared" si="10"/>
        <v/>
      </c>
      <c r="LI8" s="13" t="str">
        <f t="shared" si="10"/>
        <v/>
      </c>
      <c r="LJ8" s="13" t="str">
        <f t="shared" si="10"/>
        <v xml:space="preserve">KW </v>
      </c>
      <c r="LK8" s="13">
        <f t="shared" si="10"/>
        <v>46</v>
      </c>
      <c r="LL8" s="13" t="str">
        <f t="shared" si="10"/>
        <v/>
      </c>
      <c r="LM8" s="13" t="str">
        <f t="shared" si="10"/>
        <v/>
      </c>
      <c r="LN8" s="13" t="str">
        <f t="shared" si="10"/>
        <v/>
      </c>
      <c r="LO8" s="13" t="str">
        <f t="shared" ref="LO8:NJ8" si="11">IF(LO4=1,"KW ",IF(LO4=2,TRUNC((LO9-DATE(YEAR(LO9+3-MOD(LO9-2,7)),1,MOD(LO9-2,7)-9))/7),""))</f>
        <v/>
      </c>
      <c r="LP8" s="13" t="str">
        <f t="shared" si="11"/>
        <v/>
      </c>
      <c r="LQ8" s="13" t="str">
        <f t="shared" si="11"/>
        <v xml:space="preserve">KW </v>
      </c>
      <c r="LR8" s="13">
        <f t="shared" si="11"/>
        <v>47</v>
      </c>
      <c r="LS8" s="13" t="str">
        <f t="shared" si="11"/>
        <v/>
      </c>
      <c r="LT8" s="13" t="str">
        <f t="shared" si="11"/>
        <v/>
      </c>
      <c r="LU8" s="13" t="str">
        <f t="shared" si="11"/>
        <v/>
      </c>
      <c r="LV8" s="13" t="str">
        <f t="shared" si="11"/>
        <v/>
      </c>
      <c r="LW8" s="13" t="str">
        <f t="shared" si="11"/>
        <v/>
      </c>
      <c r="LX8" s="13" t="str">
        <f t="shared" si="11"/>
        <v xml:space="preserve">KW </v>
      </c>
      <c r="LY8" s="13">
        <f t="shared" si="11"/>
        <v>48</v>
      </c>
      <c r="LZ8" s="13" t="str">
        <f t="shared" si="11"/>
        <v/>
      </c>
      <c r="MA8" s="13" t="str">
        <f t="shared" si="11"/>
        <v/>
      </c>
      <c r="MB8" s="13" t="str">
        <f t="shared" si="11"/>
        <v/>
      </c>
      <c r="MC8" s="13" t="str">
        <f t="shared" si="11"/>
        <v/>
      </c>
      <c r="MD8" s="13" t="str">
        <f t="shared" si="11"/>
        <v/>
      </c>
      <c r="ME8" s="13" t="str">
        <f t="shared" si="11"/>
        <v xml:space="preserve">KW </v>
      </c>
      <c r="MF8" s="13">
        <f t="shared" si="11"/>
        <v>49</v>
      </c>
      <c r="MG8" s="13" t="str">
        <f t="shared" si="11"/>
        <v/>
      </c>
      <c r="MH8" s="13" t="str">
        <f t="shared" si="11"/>
        <v/>
      </c>
      <c r="MI8" s="13" t="str">
        <f t="shared" si="11"/>
        <v/>
      </c>
      <c r="MJ8" s="13" t="str">
        <f t="shared" si="11"/>
        <v/>
      </c>
      <c r="MK8" s="13" t="str">
        <f t="shared" si="11"/>
        <v/>
      </c>
      <c r="ML8" s="13" t="str">
        <f t="shared" si="11"/>
        <v xml:space="preserve">KW </v>
      </c>
      <c r="MM8" s="13">
        <f t="shared" si="11"/>
        <v>50</v>
      </c>
      <c r="MN8" s="13" t="str">
        <f t="shared" si="11"/>
        <v/>
      </c>
      <c r="MO8" s="13" t="str">
        <f t="shared" si="11"/>
        <v/>
      </c>
      <c r="MP8" s="13" t="str">
        <f t="shared" si="11"/>
        <v/>
      </c>
      <c r="MQ8" s="13" t="str">
        <f t="shared" si="11"/>
        <v/>
      </c>
      <c r="MR8" s="13" t="str">
        <f t="shared" si="11"/>
        <v/>
      </c>
      <c r="MS8" s="13" t="str">
        <f t="shared" si="11"/>
        <v xml:space="preserve">KW </v>
      </c>
      <c r="MT8" s="13">
        <f t="shared" si="11"/>
        <v>51</v>
      </c>
      <c r="MU8" s="13" t="str">
        <f t="shared" si="11"/>
        <v/>
      </c>
      <c r="MV8" s="13" t="str">
        <f t="shared" si="11"/>
        <v/>
      </c>
      <c r="MW8" s="13" t="str">
        <f t="shared" si="11"/>
        <v/>
      </c>
      <c r="MX8" s="13" t="str">
        <f t="shared" si="11"/>
        <v/>
      </c>
      <c r="MY8" s="13" t="str">
        <f t="shared" si="11"/>
        <v/>
      </c>
      <c r="MZ8" s="13" t="str">
        <f t="shared" si="11"/>
        <v xml:space="preserve">KW </v>
      </c>
      <c r="NA8" s="13">
        <f t="shared" si="11"/>
        <v>52</v>
      </c>
      <c r="NB8" s="13" t="str">
        <f t="shared" si="11"/>
        <v/>
      </c>
      <c r="NC8" s="13" t="str">
        <f t="shared" si="11"/>
        <v/>
      </c>
      <c r="ND8" s="13" t="str">
        <f t="shared" si="11"/>
        <v/>
      </c>
      <c r="NE8" s="32" t="str">
        <f t="shared" si="11"/>
        <v/>
      </c>
      <c r="NF8" s="13" t="str">
        <f t="shared" si="11"/>
        <v/>
      </c>
      <c r="NG8" s="13" t="str">
        <f t="shared" si="11"/>
        <v xml:space="preserve">KW </v>
      </c>
      <c r="NH8" s="13">
        <f t="shared" si="11"/>
        <v>1</v>
      </c>
      <c r="NI8" s="13" t="str">
        <f t="shared" si="11"/>
        <v/>
      </c>
      <c r="NJ8" s="13" t="str">
        <f t="shared" si="11"/>
        <v/>
      </c>
    </row>
    <row r="9" spans="1:427" s="5" customFormat="1" ht="13.5" customHeight="1" x14ac:dyDescent="0.25">
      <c r="A9" s="70"/>
      <c r="B9" s="71"/>
      <c r="C9" s="72"/>
      <c r="D9" s="72"/>
      <c r="E9" s="73"/>
      <c r="F9" s="3"/>
      <c r="G9" s="77">
        <f>DATE(F1,F2,F3)</f>
        <v>43101</v>
      </c>
      <c r="H9" s="74">
        <f>G9+1</f>
        <v>43102</v>
      </c>
      <c r="I9" s="74">
        <f t="shared" ref="I9:BT9" si="12">H9+1</f>
        <v>43103</v>
      </c>
      <c r="J9" s="74">
        <f t="shared" si="12"/>
        <v>43104</v>
      </c>
      <c r="K9" s="74">
        <f t="shared" si="12"/>
        <v>43105</v>
      </c>
      <c r="L9" s="74">
        <f t="shared" si="12"/>
        <v>43106</v>
      </c>
      <c r="M9" s="74">
        <f t="shared" si="12"/>
        <v>43107</v>
      </c>
      <c r="N9" s="74">
        <f t="shared" si="12"/>
        <v>43108</v>
      </c>
      <c r="O9" s="74">
        <f t="shared" si="12"/>
        <v>43109</v>
      </c>
      <c r="P9" s="74">
        <f t="shared" si="12"/>
        <v>43110</v>
      </c>
      <c r="Q9" s="74">
        <f t="shared" si="12"/>
        <v>43111</v>
      </c>
      <c r="R9" s="74">
        <f t="shared" si="12"/>
        <v>43112</v>
      </c>
      <c r="S9" s="74">
        <f t="shared" si="12"/>
        <v>43113</v>
      </c>
      <c r="T9" s="74">
        <f t="shared" si="12"/>
        <v>43114</v>
      </c>
      <c r="U9" s="74">
        <f t="shared" si="12"/>
        <v>43115</v>
      </c>
      <c r="V9" s="74">
        <f t="shared" si="12"/>
        <v>43116</v>
      </c>
      <c r="W9" s="74">
        <f t="shared" si="12"/>
        <v>43117</v>
      </c>
      <c r="X9" s="74">
        <f t="shared" si="12"/>
        <v>43118</v>
      </c>
      <c r="Y9" s="74">
        <f t="shared" si="12"/>
        <v>43119</v>
      </c>
      <c r="Z9" s="74">
        <f t="shared" si="12"/>
        <v>43120</v>
      </c>
      <c r="AA9" s="74">
        <f t="shared" si="12"/>
        <v>43121</v>
      </c>
      <c r="AB9" s="74">
        <f t="shared" si="12"/>
        <v>43122</v>
      </c>
      <c r="AC9" s="74">
        <f t="shared" si="12"/>
        <v>43123</v>
      </c>
      <c r="AD9" s="74">
        <f t="shared" si="12"/>
        <v>43124</v>
      </c>
      <c r="AE9" s="74">
        <f t="shared" si="12"/>
        <v>43125</v>
      </c>
      <c r="AF9" s="74">
        <f t="shared" si="12"/>
        <v>43126</v>
      </c>
      <c r="AG9" s="74">
        <f t="shared" si="12"/>
        <v>43127</v>
      </c>
      <c r="AH9" s="74">
        <f t="shared" si="12"/>
        <v>43128</v>
      </c>
      <c r="AI9" s="74">
        <f t="shared" si="12"/>
        <v>43129</v>
      </c>
      <c r="AJ9" s="74">
        <f t="shared" si="12"/>
        <v>43130</v>
      </c>
      <c r="AK9" s="74">
        <f t="shared" si="12"/>
        <v>43131</v>
      </c>
      <c r="AL9" s="74">
        <f t="shared" si="12"/>
        <v>43132</v>
      </c>
      <c r="AM9" s="74">
        <f t="shared" si="12"/>
        <v>43133</v>
      </c>
      <c r="AN9" s="74">
        <f t="shared" si="12"/>
        <v>43134</v>
      </c>
      <c r="AO9" s="74">
        <f t="shared" si="12"/>
        <v>43135</v>
      </c>
      <c r="AP9" s="74">
        <f t="shared" si="12"/>
        <v>43136</v>
      </c>
      <c r="AQ9" s="74">
        <f t="shared" si="12"/>
        <v>43137</v>
      </c>
      <c r="AR9" s="74">
        <f t="shared" si="12"/>
        <v>43138</v>
      </c>
      <c r="AS9" s="74">
        <f t="shared" si="12"/>
        <v>43139</v>
      </c>
      <c r="AT9" s="74">
        <f t="shared" si="12"/>
        <v>43140</v>
      </c>
      <c r="AU9" s="74">
        <f t="shared" si="12"/>
        <v>43141</v>
      </c>
      <c r="AV9" s="74">
        <f t="shared" si="12"/>
        <v>43142</v>
      </c>
      <c r="AW9" s="74">
        <f t="shared" si="12"/>
        <v>43143</v>
      </c>
      <c r="AX9" s="74">
        <f t="shared" si="12"/>
        <v>43144</v>
      </c>
      <c r="AY9" s="74">
        <f t="shared" si="12"/>
        <v>43145</v>
      </c>
      <c r="AZ9" s="74">
        <f t="shared" si="12"/>
        <v>43146</v>
      </c>
      <c r="BA9" s="74">
        <f t="shared" si="12"/>
        <v>43147</v>
      </c>
      <c r="BB9" s="74">
        <f t="shared" si="12"/>
        <v>43148</v>
      </c>
      <c r="BC9" s="74">
        <f t="shared" si="12"/>
        <v>43149</v>
      </c>
      <c r="BD9" s="74">
        <f t="shared" si="12"/>
        <v>43150</v>
      </c>
      <c r="BE9" s="74">
        <f t="shared" si="12"/>
        <v>43151</v>
      </c>
      <c r="BF9" s="74">
        <f t="shared" si="12"/>
        <v>43152</v>
      </c>
      <c r="BG9" s="74">
        <f t="shared" si="12"/>
        <v>43153</v>
      </c>
      <c r="BH9" s="60">
        <f t="shared" si="12"/>
        <v>43154</v>
      </c>
      <c r="BI9" s="60">
        <f t="shared" si="12"/>
        <v>43155</v>
      </c>
      <c r="BJ9" s="60">
        <f t="shared" si="12"/>
        <v>43156</v>
      </c>
      <c r="BK9" s="60">
        <f t="shared" si="12"/>
        <v>43157</v>
      </c>
      <c r="BL9" s="60">
        <f t="shared" si="12"/>
        <v>43158</v>
      </c>
      <c r="BM9" s="60">
        <f t="shared" si="12"/>
        <v>43159</v>
      </c>
      <c r="BN9" s="60">
        <f t="shared" si="12"/>
        <v>43160</v>
      </c>
      <c r="BO9" s="60">
        <f t="shared" si="12"/>
        <v>43161</v>
      </c>
      <c r="BP9" s="60">
        <f t="shared" si="12"/>
        <v>43162</v>
      </c>
      <c r="BQ9" s="60">
        <f t="shared" si="12"/>
        <v>43163</v>
      </c>
      <c r="BR9" s="60">
        <f t="shared" si="12"/>
        <v>43164</v>
      </c>
      <c r="BS9" s="60">
        <f t="shared" si="12"/>
        <v>43165</v>
      </c>
      <c r="BT9" s="60">
        <f t="shared" si="12"/>
        <v>43166</v>
      </c>
      <c r="BU9" s="60">
        <f t="shared" ref="BU9:EF9" si="13">BT9+1</f>
        <v>43167</v>
      </c>
      <c r="BV9" s="60">
        <f t="shared" si="13"/>
        <v>43168</v>
      </c>
      <c r="BW9" s="60">
        <f t="shared" si="13"/>
        <v>43169</v>
      </c>
      <c r="BX9" s="60">
        <f t="shared" si="13"/>
        <v>43170</v>
      </c>
      <c r="BY9" s="60">
        <f t="shared" si="13"/>
        <v>43171</v>
      </c>
      <c r="BZ9" s="60">
        <f t="shared" si="13"/>
        <v>43172</v>
      </c>
      <c r="CA9" s="60">
        <f t="shared" si="13"/>
        <v>43173</v>
      </c>
      <c r="CB9" s="60">
        <f t="shared" si="13"/>
        <v>43174</v>
      </c>
      <c r="CC9" s="60">
        <f t="shared" si="13"/>
        <v>43175</v>
      </c>
      <c r="CD9" s="60">
        <f t="shared" si="13"/>
        <v>43176</v>
      </c>
      <c r="CE9" s="60">
        <f t="shared" si="13"/>
        <v>43177</v>
      </c>
      <c r="CF9" s="60">
        <f t="shared" si="13"/>
        <v>43178</v>
      </c>
      <c r="CG9" s="60">
        <f t="shared" si="13"/>
        <v>43179</v>
      </c>
      <c r="CH9" s="60">
        <f t="shared" si="13"/>
        <v>43180</v>
      </c>
      <c r="CI9" s="60">
        <f t="shared" si="13"/>
        <v>43181</v>
      </c>
      <c r="CJ9" s="60">
        <f t="shared" si="13"/>
        <v>43182</v>
      </c>
      <c r="CK9" s="60">
        <f t="shared" si="13"/>
        <v>43183</v>
      </c>
      <c r="CL9" s="60">
        <f t="shared" si="13"/>
        <v>43184</v>
      </c>
      <c r="CM9" s="60">
        <f t="shared" si="13"/>
        <v>43185</v>
      </c>
      <c r="CN9" s="60">
        <f t="shared" si="13"/>
        <v>43186</v>
      </c>
      <c r="CO9" s="60">
        <f t="shared" si="13"/>
        <v>43187</v>
      </c>
      <c r="CP9" s="60">
        <f t="shared" si="13"/>
        <v>43188</v>
      </c>
      <c r="CQ9" s="60">
        <f t="shared" si="13"/>
        <v>43189</v>
      </c>
      <c r="CR9" s="60">
        <f t="shared" si="13"/>
        <v>43190</v>
      </c>
      <c r="CS9" s="60">
        <f t="shared" si="13"/>
        <v>43191</v>
      </c>
      <c r="CT9" s="60">
        <f t="shared" si="13"/>
        <v>43192</v>
      </c>
      <c r="CU9" s="60">
        <f t="shared" si="13"/>
        <v>43193</v>
      </c>
      <c r="CV9" s="60">
        <f t="shared" si="13"/>
        <v>43194</v>
      </c>
      <c r="CW9" s="60">
        <f t="shared" si="13"/>
        <v>43195</v>
      </c>
      <c r="CX9" s="60">
        <f t="shared" si="13"/>
        <v>43196</v>
      </c>
      <c r="CY9" s="60">
        <f t="shared" si="13"/>
        <v>43197</v>
      </c>
      <c r="CZ9" s="60">
        <f t="shared" si="13"/>
        <v>43198</v>
      </c>
      <c r="DA9" s="60">
        <f t="shared" si="13"/>
        <v>43199</v>
      </c>
      <c r="DB9" s="60">
        <f t="shared" si="13"/>
        <v>43200</v>
      </c>
      <c r="DC9" s="60">
        <f t="shared" si="13"/>
        <v>43201</v>
      </c>
      <c r="DD9" s="60">
        <f t="shared" si="13"/>
        <v>43202</v>
      </c>
      <c r="DE9" s="60">
        <f t="shared" si="13"/>
        <v>43203</v>
      </c>
      <c r="DF9" s="60">
        <f t="shared" si="13"/>
        <v>43204</v>
      </c>
      <c r="DG9" s="60">
        <f t="shared" si="13"/>
        <v>43205</v>
      </c>
      <c r="DH9" s="60">
        <f t="shared" si="13"/>
        <v>43206</v>
      </c>
      <c r="DI9" s="60">
        <f t="shared" si="13"/>
        <v>43207</v>
      </c>
      <c r="DJ9" s="60">
        <f t="shared" si="13"/>
        <v>43208</v>
      </c>
      <c r="DK9" s="60">
        <f t="shared" si="13"/>
        <v>43209</v>
      </c>
      <c r="DL9" s="60">
        <f t="shared" si="13"/>
        <v>43210</v>
      </c>
      <c r="DM9" s="60">
        <f t="shared" si="13"/>
        <v>43211</v>
      </c>
      <c r="DN9" s="60">
        <f t="shared" si="13"/>
        <v>43212</v>
      </c>
      <c r="DO9" s="60">
        <f t="shared" si="13"/>
        <v>43213</v>
      </c>
      <c r="DP9" s="60">
        <f t="shared" si="13"/>
        <v>43214</v>
      </c>
      <c r="DQ9" s="60">
        <f t="shared" si="13"/>
        <v>43215</v>
      </c>
      <c r="DR9" s="60">
        <f t="shared" si="13"/>
        <v>43216</v>
      </c>
      <c r="DS9" s="60">
        <f t="shared" si="13"/>
        <v>43217</v>
      </c>
      <c r="DT9" s="60">
        <f t="shared" si="13"/>
        <v>43218</v>
      </c>
      <c r="DU9" s="60">
        <f t="shared" si="13"/>
        <v>43219</v>
      </c>
      <c r="DV9" s="60">
        <f t="shared" si="13"/>
        <v>43220</v>
      </c>
      <c r="DW9" s="60">
        <f t="shared" si="13"/>
        <v>43221</v>
      </c>
      <c r="DX9" s="60">
        <f t="shared" si="13"/>
        <v>43222</v>
      </c>
      <c r="DY9" s="60">
        <f t="shared" si="13"/>
        <v>43223</v>
      </c>
      <c r="DZ9" s="60">
        <f t="shared" si="13"/>
        <v>43224</v>
      </c>
      <c r="EA9" s="60">
        <f t="shared" si="13"/>
        <v>43225</v>
      </c>
      <c r="EB9" s="60">
        <f t="shared" si="13"/>
        <v>43226</v>
      </c>
      <c r="EC9" s="60">
        <f t="shared" si="13"/>
        <v>43227</v>
      </c>
      <c r="ED9" s="60">
        <f t="shared" si="13"/>
        <v>43228</v>
      </c>
      <c r="EE9" s="60">
        <f t="shared" si="13"/>
        <v>43229</v>
      </c>
      <c r="EF9" s="60">
        <f t="shared" si="13"/>
        <v>43230</v>
      </c>
      <c r="EG9" s="60">
        <f t="shared" ref="EG9:GR9" si="14">EF9+1</f>
        <v>43231</v>
      </c>
      <c r="EH9" s="60">
        <f t="shared" si="14"/>
        <v>43232</v>
      </c>
      <c r="EI9" s="60">
        <f t="shared" si="14"/>
        <v>43233</v>
      </c>
      <c r="EJ9" s="60">
        <f t="shared" si="14"/>
        <v>43234</v>
      </c>
      <c r="EK9" s="60">
        <f t="shared" si="14"/>
        <v>43235</v>
      </c>
      <c r="EL9" s="60">
        <f t="shared" si="14"/>
        <v>43236</v>
      </c>
      <c r="EM9" s="60">
        <f t="shared" si="14"/>
        <v>43237</v>
      </c>
      <c r="EN9" s="60">
        <f t="shared" si="14"/>
        <v>43238</v>
      </c>
      <c r="EO9" s="60">
        <f t="shared" si="14"/>
        <v>43239</v>
      </c>
      <c r="EP9" s="60">
        <f t="shared" si="14"/>
        <v>43240</v>
      </c>
      <c r="EQ9" s="60">
        <f t="shared" si="14"/>
        <v>43241</v>
      </c>
      <c r="ER9" s="60">
        <f t="shared" si="14"/>
        <v>43242</v>
      </c>
      <c r="ES9" s="60">
        <f t="shared" si="14"/>
        <v>43243</v>
      </c>
      <c r="ET9" s="60">
        <f t="shared" si="14"/>
        <v>43244</v>
      </c>
      <c r="EU9" s="60">
        <f t="shared" si="14"/>
        <v>43245</v>
      </c>
      <c r="EV9" s="60">
        <f t="shared" si="14"/>
        <v>43246</v>
      </c>
      <c r="EW9" s="60">
        <f t="shared" si="14"/>
        <v>43247</v>
      </c>
      <c r="EX9" s="60">
        <f t="shared" si="14"/>
        <v>43248</v>
      </c>
      <c r="EY9" s="60">
        <f t="shared" si="14"/>
        <v>43249</v>
      </c>
      <c r="EZ9" s="60">
        <f t="shared" si="14"/>
        <v>43250</v>
      </c>
      <c r="FA9" s="60">
        <f t="shared" si="14"/>
        <v>43251</v>
      </c>
      <c r="FB9" s="60">
        <f t="shared" si="14"/>
        <v>43252</v>
      </c>
      <c r="FC9" s="60">
        <f t="shared" si="14"/>
        <v>43253</v>
      </c>
      <c r="FD9" s="60">
        <f t="shared" si="14"/>
        <v>43254</v>
      </c>
      <c r="FE9" s="60">
        <f t="shared" si="14"/>
        <v>43255</v>
      </c>
      <c r="FF9" s="60">
        <f t="shared" si="14"/>
        <v>43256</v>
      </c>
      <c r="FG9" s="60">
        <f t="shared" si="14"/>
        <v>43257</v>
      </c>
      <c r="FH9" s="60">
        <f t="shared" si="14"/>
        <v>43258</v>
      </c>
      <c r="FI9" s="60">
        <f t="shared" si="14"/>
        <v>43259</v>
      </c>
      <c r="FJ9" s="60">
        <f t="shared" si="14"/>
        <v>43260</v>
      </c>
      <c r="FK9" s="60">
        <f t="shared" si="14"/>
        <v>43261</v>
      </c>
      <c r="FL9" s="60">
        <f t="shared" si="14"/>
        <v>43262</v>
      </c>
      <c r="FM9" s="60">
        <f t="shared" si="14"/>
        <v>43263</v>
      </c>
      <c r="FN9" s="60">
        <f t="shared" si="14"/>
        <v>43264</v>
      </c>
      <c r="FO9" s="60">
        <f t="shared" si="14"/>
        <v>43265</v>
      </c>
      <c r="FP9" s="60">
        <f t="shared" si="14"/>
        <v>43266</v>
      </c>
      <c r="FQ9" s="60">
        <f t="shared" si="14"/>
        <v>43267</v>
      </c>
      <c r="FR9" s="60">
        <f t="shared" si="14"/>
        <v>43268</v>
      </c>
      <c r="FS9" s="60">
        <f t="shared" si="14"/>
        <v>43269</v>
      </c>
      <c r="FT9" s="60">
        <f t="shared" si="14"/>
        <v>43270</v>
      </c>
      <c r="FU9" s="60">
        <f t="shared" si="14"/>
        <v>43271</v>
      </c>
      <c r="FV9" s="60">
        <f t="shared" si="14"/>
        <v>43272</v>
      </c>
      <c r="FW9" s="60">
        <f t="shared" si="14"/>
        <v>43273</v>
      </c>
      <c r="FX9" s="60">
        <f t="shared" si="14"/>
        <v>43274</v>
      </c>
      <c r="FY9" s="60">
        <f t="shared" si="14"/>
        <v>43275</v>
      </c>
      <c r="FZ9" s="60">
        <f t="shared" si="14"/>
        <v>43276</v>
      </c>
      <c r="GA9" s="60">
        <f t="shared" si="14"/>
        <v>43277</v>
      </c>
      <c r="GB9" s="60">
        <f t="shared" si="14"/>
        <v>43278</v>
      </c>
      <c r="GC9" s="60">
        <f t="shared" si="14"/>
        <v>43279</v>
      </c>
      <c r="GD9" s="60">
        <f t="shared" si="14"/>
        <v>43280</v>
      </c>
      <c r="GE9" s="60">
        <f t="shared" si="14"/>
        <v>43281</v>
      </c>
      <c r="GF9" s="60">
        <f t="shared" si="14"/>
        <v>43282</v>
      </c>
      <c r="GG9" s="60">
        <f t="shared" si="14"/>
        <v>43283</v>
      </c>
      <c r="GH9" s="60">
        <f t="shared" si="14"/>
        <v>43284</v>
      </c>
      <c r="GI9" s="60">
        <f t="shared" si="14"/>
        <v>43285</v>
      </c>
      <c r="GJ9" s="60">
        <f t="shared" si="14"/>
        <v>43286</v>
      </c>
      <c r="GK9" s="60">
        <f t="shared" si="14"/>
        <v>43287</v>
      </c>
      <c r="GL9" s="60">
        <f t="shared" si="14"/>
        <v>43288</v>
      </c>
      <c r="GM9" s="60">
        <f t="shared" si="14"/>
        <v>43289</v>
      </c>
      <c r="GN9" s="60">
        <f t="shared" si="14"/>
        <v>43290</v>
      </c>
      <c r="GO9" s="60">
        <f t="shared" si="14"/>
        <v>43291</v>
      </c>
      <c r="GP9" s="60">
        <f t="shared" si="14"/>
        <v>43292</v>
      </c>
      <c r="GQ9" s="60">
        <f t="shared" si="14"/>
        <v>43293</v>
      </c>
      <c r="GR9" s="60">
        <f t="shared" si="14"/>
        <v>43294</v>
      </c>
      <c r="GS9" s="60">
        <f t="shared" ref="GS9:JD9" si="15">GR9+1</f>
        <v>43295</v>
      </c>
      <c r="GT9" s="60">
        <f t="shared" si="15"/>
        <v>43296</v>
      </c>
      <c r="GU9" s="60">
        <f t="shared" si="15"/>
        <v>43297</v>
      </c>
      <c r="GV9" s="60">
        <f t="shared" si="15"/>
        <v>43298</v>
      </c>
      <c r="GW9" s="60">
        <f t="shared" si="15"/>
        <v>43299</v>
      </c>
      <c r="GX9" s="60">
        <f t="shared" si="15"/>
        <v>43300</v>
      </c>
      <c r="GY9" s="60">
        <f t="shared" si="15"/>
        <v>43301</v>
      </c>
      <c r="GZ9" s="60">
        <f t="shared" si="15"/>
        <v>43302</v>
      </c>
      <c r="HA9" s="60">
        <f t="shared" si="15"/>
        <v>43303</v>
      </c>
      <c r="HB9" s="60">
        <f t="shared" si="15"/>
        <v>43304</v>
      </c>
      <c r="HC9" s="60">
        <f t="shared" si="15"/>
        <v>43305</v>
      </c>
      <c r="HD9" s="60">
        <f t="shared" si="15"/>
        <v>43306</v>
      </c>
      <c r="HE9" s="60">
        <f t="shared" si="15"/>
        <v>43307</v>
      </c>
      <c r="HF9" s="60">
        <f t="shared" si="15"/>
        <v>43308</v>
      </c>
      <c r="HG9" s="60">
        <f t="shared" si="15"/>
        <v>43309</v>
      </c>
      <c r="HH9" s="60">
        <f t="shared" si="15"/>
        <v>43310</v>
      </c>
      <c r="HI9" s="60">
        <f t="shared" si="15"/>
        <v>43311</v>
      </c>
      <c r="HJ9" s="60">
        <f t="shared" si="15"/>
        <v>43312</v>
      </c>
      <c r="HK9" s="60">
        <f t="shared" si="15"/>
        <v>43313</v>
      </c>
      <c r="HL9" s="60">
        <f t="shared" si="15"/>
        <v>43314</v>
      </c>
      <c r="HM9" s="60">
        <f t="shared" si="15"/>
        <v>43315</v>
      </c>
      <c r="HN9" s="60">
        <f t="shared" si="15"/>
        <v>43316</v>
      </c>
      <c r="HO9" s="60">
        <f t="shared" si="15"/>
        <v>43317</v>
      </c>
      <c r="HP9" s="60">
        <f t="shared" si="15"/>
        <v>43318</v>
      </c>
      <c r="HQ9" s="60">
        <f t="shared" si="15"/>
        <v>43319</v>
      </c>
      <c r="HR9" s="60">
        <f t="shared" si="15"/>
        <v>43320</v>
      </c>
      <c r="HS9" s="60">
        <f t="shared" si="15"/>
        <v>43321</v>
      </c>
      <c r="HT9" s="60">
        <f t="shared" si="15"/>
        <v>43322</v>
      </c>
      <c r="HU9" s="60">
        <f t="shared" si="15"/>
        <v>43323</v>
      </c>
      <c r="HV9" s="60">
        <f t="shared" si="15"/>
        <v>43324</v>
      </c>
      <c r="HW9" s="60">
        <f t="shared" si="15"/>
        <v>43325</v>
      </c>
      <c r="HX9" s="60">
        <f t="shared" si="15"/>
        <v>43326</v>
      </c>
      <c r="HY9" s="60">
        <f t="shared" si="15"/>
        <v>43327</v>
      </c>
      <c r="HZ9" s="60">
        <f t="shared" si="15"/>
        <v>43328</v>
      </c>
      <c r="IA9" s="60">
        <f t="shared" si="15"/>
        <v>43329</v>
      </c>
      <c r="IB9" s="60">
        <f t="shared" si="15"/>
        <v>43330</v>
      </c>
      <c r="IC9" s="60">
        <f t="shared" si="15"/>
        <v>43331</v>
      </c>
      <c r="ID9" s="60">
        <f t="shared" si="15"/>
        <v>43332</v>
      </c>
      <c r="IE9" s="60">
        <f t="shared" si="15"/>
        <v>43333</v>
      </c>
      <c r="IF9" s="60">
        <f t="shared" si="15"/>
        <v>43334</v>
      </c>
      <c r="IG9" s="60">
        <f t="shared" si="15"/>
        <v>43335</v>
      </c>
      <c r="IH9" s="60">
        <f t="shared" si="15"/>
        <v>43336</v>
      </c>
      <c r="II9" s="60">
        <f t="shared" si="15"/>
        <v>43337</v>
      </c>
      <c r="IJ9" s="60">
        <f t="shared" si="15"/>
        <v>43338</v>
      </c>
      <c r="IK9" s="60">
        <f t="shared" si="15"/>
        <v>43339</v>
      </c>
      <c r="IL9" s="60">
        <f t="shared" si="15"/>
        <v>43340</v>
      </c>
      <c r="IM9" s="60">
        <f t="shared" si="15"/>
        <v>43341</v>
      </c>
      <c r="IN9" s="60">
        <f t="shared" si="15"/>
        <v>43342</v>
      </c>
      <c r="IO9" s="60">
        <f t="shared" si="15"/>
        <v>43343</v>
      </c>
      <c r="IP9" s="60">
        <f t="shared" si="15"/>
        <v>43344</v>
      </c>
      <c r="IQ9" s="60">
        <f t="shared" si="15"/>
        <v>43345</v>
      </c>
      <c r="IR9" s="60">
        <f t="shared" si="15"/>
        <v>43346</v>
      </c>
      <c r="IS9" s="60">
        <f t="shared" si="15"/>
        <v>43347</v>
      </c>
      <c r="IT9" s="60">
        <f t="shared" si="15"/>
        <v>43348</v>
      </c>
      <c r="IU9" s="60">
        <f t="shared" si="15"/>
        <v>43349</v>
      </c>
      <c r="IV9" s="60">
        <f t="shared" si="15"/>
        <v>43350</v>
      </c>
      <c r="IW9" s="60">
        <f t="shared" si="15"/>
        <v>43351</v>
      </c>
      <c r="IX9" s="60">
        <f t="shared" si="15"/>
        <v>43352</v>
      </c>
      <c r="IY9" s="60">
        <f t="shared" si="15"/>
        <v>43353</v>
      </c>
      <c r="IZ9" s="60">
        <f t="shared" si="15"/>
        <v>43354</v>
      </c>
      <c r="JA9" s="60">
        <f t="shared" si="15"/>
        <v>43355</v>
      </c>
      <c r="JB9" s="60">
        <f t="shared" si="15"/>
        <v>43356</v>
      </c>
      <c r="JC9" s="60">
        <f t="shared" si="15"/>
        <v>43357</v>
      </c>
      <c r="JD9" s="60">
        <f t="shared" si="15"/>
        <v>43358</v>
      </c>
      <c r="JE9" s="60">
        <f t="shared" ref="JE9:LP9" si="16">JD9+1</f>
        <v>43359</v>
      </c>
      <c r="JF9" s="60">
        <f t="shared" si="16"/>
        <v>43360</v>
      </c>
      <c r="JG9" s="60">
        <f t="shared" si="16"/>
        <v>43361</v>
      </c>
      <c r="JH9" s="60">
        <f t="shared" si="16"/>
        <v>43362</v>
      </c>
      <c r="JI9" s="60">
        <f t="shared" si="16"/>
        <v>43363</v>
      </c>
      <c r="JJ9" s="60">
        <f t="shared" si="16"/>
        <v>43364</v>
      </c>
      <c r="JK9" s="60">
        <f t="shared" si="16"/>
        <v>43365</v>
      </c>
      <c r="JL9" s="60">
        <f t="shared" si="16"/>
        <v>43366</v>
      </c>
      <c r="JM9" s="60">
        <f t="shared" si="16"/>
        <v>43367</v>
      </c>
      <c r="JN9" s="60">
        <f t="shared" si="16"/>
        <v>43368</v>
      </c>
      <c r="JO9" s="60">
        <f t="shared" si="16"/>
        <v>43369</v>
      </c>
      <c r="JP9" s="60">
        <f t="shared" si="16"/>
        <v>43370</v>
      </c>
      <c r="JQ9" s="60">
        <f t="shared" si="16"/>
        <v>43371</v>
      </c>
      <c r="JR9" s="60">
        <f t="shared" si="16"/>
        <v>43372</v>
      </c>
      <c r="JS9" s="60">
        <f t="shared" si="16"/>
        <v>43373</v>
      </c>
      <c r="JT9" s="60">
        <f t="shared" si="16"/>
        <v>43374</v>
      </c>
      <c r="JU9" s="60">
        <f t="shared" si="16"/>
        <v>43375</v>
      </c>
      <c r="JV9" s="60">
        <f t="shared" si="16"/>
        <v>43376</v>
      </c>
      <c r="JW9" s="60">
        <f t="shared" si="16"/>
        <v>43377</v>
      </c>
      <c r="JX9" s="60">
        <f t="shared" si="16"/>
        <v>43378</v>
      </c>
      <c r="JY9" s="60">
        <f t="shared" si="16"/>
        <v>43379</v>
      </c>
      <c r="JZ9" s="60">
        <f t="shared" si="16"/>
        <v>43380</v>
      </c>
      <c r="KA9" s="60">
        <f t="shared" si="16"/>
        <v>43381</v>
      </c>
      <c r="KB9" s="60">
        <f t="shared" si="16"/>
        <v>43382</v>
      </c>
      <c r="KC9" s="60">
        <f t="shared" si="16"/>
        <v>43383</v>
      </c>
      <c r="KD9" s="60">
        <f t="shared" si="16"/>
        <v>43384</v>
      </c>
      <c r="KE9" s="60">
        <f t="shared" si="16"/>
        <v>43385</v>
      </c>
      <c r="KF9" s="60">
        <f t="shared" si="16"/>
        <v>43386</v>
      </c>
      <c r="KG9" s="60">
        <f t="shared" si="16"/>
        <v>43387</v>
      </c>
      <c r="KH9" s="60">
        <f t="shared" si="16"/>
        <v>43388</v>
      </c>
      <c r="KI9" s="60">
        <f t="shared" si="16"/>
        <v>43389</v>
      </c>
      <c r="KJ9" s="60">
        <f t="shared" si="16"/>
        <v>43390</v>
      </c>
      <c r="KK9" s="60">
        <f t="shared" si="16"/>
        <v>43391</v>
      </c>
      <c r="KL9" s="60">
        <f t="shared" si="16"/>
        <v>43392</v>
      </c>
      <c r="KM9" s="60">
        <f t="shared" si="16"/>
        <v>43393</v>
      </c>
      <c r="KN9" s="60">
        <f t="shared" si="16"/>
        <v>43394</v>
      </c>
      <c r="KO9" s="60">
        <f t="shared" si="16"/>
        <v>43395</v>
      </c>
      <c r="KP9" s="60">
        <f t="shared" si="16"/>
        <v>43396</v>
      </c>
      <c r="KQ9" s="60">
        <f t="shared" si="16"/>
        <v>43397</v>
      </c>
      <c r="KR9" s="60">
        <f t="shared" si="16"/>
        <v>43398</v>
      </c>
      <c r="KS9" s="60">
        <f t="shared" si="16"/>
        <v>43399</v>
      </c>
      <c r="KT9" s="60">
        <f t="shared" si="16"/>
        <v>43400</v>
      </c>
      <c r="KU9" s="60">
        <f t="shared" si="16"/>
        <v>43401</v>
      </c>
      <c r="KV9" s="60">
        <f t="shared" si="16"/>
        <v>43402</v>
      </c>
      <c r="KW9" s="60">
        <f t="shared" si="16"/>
        <v>43403</v>
      </c>
      <c r="KX9" s="60">
        <f t="shared" si="16"/>
        <v>43404</v>
      </c>
      <c r="KY9" s="60">
        <f t="shared" si="16"/>
        <v>43405</v>
      </c>
      <c r="KZ9" s="60">
        <f t="shared" si="16"/>
        <v>43406</v>
      </c>
      <c r="LA9" s="60">
        <f t="shared" si="16"/>
        <v>43407</v>
      </c>
      <c r="LB9" s="60">
        <f t="shared" si="16"/>
        <v>43408</v>
      </c>
      <c r="LC9" s="60">
        <f t="shared" si="16"/>
        <v>43409</v>
      </c>
      <c r="LD9" s="60">
        <f t="shared" si="16"/>
        <v>43410</v>
      </c>
      <c r="LE9" s="60">
        <f t="shared" si="16"/>
        <v>43411</v>
      </c>
      <c r="LF9" s="60">
        <f t="shared" si="16"/>
        <v>43412</v>
      </c>
      <c r="LG9" s="60">
        <f t="shared" si="16"/>
        <v>43413</v>
      </c>
      <c r="LH9" s="60">
        <f t="shared" si="16"/>
        <v>43414</v>
      </c>
      <c r="LI9" s="60">
        <f t="shared" si="16"/>
        <v>43415</v>
      </c>
      <c r="LJ9" s="60">
        <f t="shared" si="16"/>
        <v>43416</v>
      </c>
      <c r="LK9" s="60">
        <f t="shared" si="16"/>
        <v>43417</v>
      </c>
      <c r="LL9" s="60">
        <f t="shared" si="16"/>
        <v>43418</v>
      </c>
      <c r="LM9" s="60">
        <f t="shared" si="16"/>
        <v>43419</v>
      </c>
      <c r="LN9" s="60">
        <f t="shared" si="16"/>
        <v>43420</v>
      </c>
      <c r="LO9" s="60">
        <f t="shared" si="16"/>
        <v>43421</v>
      </c>
      <c r="LP9" s="60">
        <f t="shared" si="16"/>
        <v>43422</v>
      </c>
      <c r="LQ9" s="60">
        <f t="shared" ref="LQ9:NJ9" si="17">LP9+1</f>
        <v>43423</v>
      </c>
      <c r="LR9" s="60">
        <f t="shared" si="17"/>
        <v>43424</v>
      </c>
      <c r="LS9" s="60">
        <f t="shared" si="17"/>
        <v>43425</v>
      </c>
      <c r="LT9" s="60">
        <f t="shared" si="17"/>
        <v>43426</v>
      </c>
      <c r="LU9" s="60">
        <f t="shared" si="17"/>
        <v>43427</v>
      </c>
      <c r="LV9" s="60">
        <f t="shared" si="17"/>
        <v>43428</v>
      </c>
      <c r="LW9" s="60">
        <f t="shared" si="17"/>
        <v>43429</v>
      </c>
      <c r="LX9" s="60">
        <f t="shared" si="17"/>
        <v>43430</v>
      </c>
      <c r="LY9" s="60">
        <f t="shared" si="17"/>
        <v>43431</v>
      </c>
      <c r="LZ9" s="60">
        <f t="shared" si="17"/>
        <v>43432</v>
      </c>
      <c r="MA9" s="60">
        <f t="shared" si="17"/>
        <v>43433</v>
      </c>
      <c r="MB9" s="60">
        <f t="shared" si="17"/>
        <v>43434</v>
      </c>
      <c r="MC9" s="60">
        <f t="shared" si="17"/>
        <v>43435</v>
      </c>
      <c r="MD9" s="60">
        <f t="shared" si="17"/>
        <v>43436</v>
      </c>
      <c r="ME9" s="60">
        <f t="shared" si="17"/>
        <v>43437</v>
      </c>
      <c r="MF9" s="60">
        <f t="shared" si="17"/>
        <v>43438</v>
      </c>
      <c r="MG9" s="60">
        <f t="shared" si="17"/>
        <v>43439</v>
      </c>
      <c r="MH9" s="60">
        <f t="shared" si="17"/>
        <v>43440</v>
      </c>
      <c r="MI9" s="60">
        <f t="shared" si="17"/>
        <v>43441</v>
      </c>
      <c r="MJ9" s="60">
        <f t="shared" si="17"/>
        <v>43442</v>
      </c>
      <c r="MK9" s="60">
        <f t="shared" si="17"/>
        <v>43443</v>
      </c>
      <c r="ML9" s="60">
        <f t="shared" si="17"/>
        <v>43444</v>
      </c>
      <c r="MM9" s="60">
        <f t="shared" si="17"/>
        <v>43445</v>
      </c>
      <c r="MN9" s="60">
        <f t="shared" si="17"/>
        <v>43446</v>
      </c>
      <c r="MO9" s="60">
        <f t="shared" si="17"/>
        <v>43447</v>
      </c>
      <c r="MP9" s="60">
        <f t="shared" si="17"/>
        <v>43448</v>
      </c>
      <c r="MQ9" s="60">
        <f t="shared" si="17"/>
        <v>43449</v>
      </c>
      <c r="MR9" s="60">
        <f t="shared" si="17"/>
        <v>43450</v>
      </c>
      <c r="MS9" s="60">
        <f t="shared" si="17"/>
        <v>43451</v>
      </c>
      <c r="MT9" s="60">
        <f t="shared" si="17"/>
        <v>43452</v>
      </c>
      <c r="MU9" s="60">
        <f t="shared" si="17"/>
        <v>43453</v>
      </c>
      <c r="MV9" s="60">
        <f t="shared" si="17"/>
        <v>43454</v>
      </c>
      <c r="MW9" s="60">
        <f t="shared" si="17"/>
        <v>43455</v>
      </c>
      <c r="MX9" s="60">
        <f t="shared" si="17"/>
        <v>43456</v>
      </c>
      <c r="MY9" s="60">
        <f t="shared" si="17"/>
        <v>43457</v>
      </c>
      <c r="MZ9" s="60">
        <f t="shared" si="17"/>
        <v>43458</v>
      </c>
      <c r="NA9" s="60">
        <f t="shared" si="17"/>
        <v>43459</v>
      </c>
      <c r="NB9" s="60">
        <f t="shared" si="17"/>
        <v>43460</v>
      </c>
      <c r="NC9" s="60">
        <f t="shared" si="17"/>
        <v>43461</v>
      </c>
      <c r="ND9" s="60">
        <f t="shared" si="17"/>
        <v>43462</v>
      </c>
      <c r="NE9" s="60">
        <f t="shared" si="17"/>
        <v>43463</v>
      </c>
      <c r="NF9" s="58">
        <f t="shared" si="17"/>
        <v>43464</v>
      </c>
      <c r="NG9" s="60">
        <f t="shared" si="17"/>
        <v>43465</v>
      </c>
      <c r="NH9" s="60">
        <f t="shared" si="17"/>
        <v>43466</v>
      </c>
      <c r="NI9" s="60">
        <f t="shared" si="17"/>
        <v>43467</v>
      </c>
      <c r="NJ9" s="60">
        <f t="shared" si="17"/>
        <v>43468</v>
      </c>
    </row>
    <row r="10" spans="1:427" s="5" customFormat="1" ht="21.75" customHeight="1" x14ac:dyDescent="0.25">
      <c r="A10" s="27"/>
      <c r="B10" s="14" t="s">
        <v>20</v>
      </c>
      <c r="C10" s="14"/>
      <c r="D10" s="43" t="s">
        <v>90</v>
      </c>
      <c r="E10" s="14" t="s">
        <v>19</v>
      </c>
      <c r="F10" s="3"/>
      <c r="G10" s="78"/>
      <c r="H10" s="75"/>
      <c r="I10" s="75"/>
      <c r="J10" s="75"/>
      <c r="K10" s="76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  <c r="EA10" s="61"/>
      <c r="EB10" s="61"/>
      <c r="EC10" s="61"/>
      <c r="ED10" s="61"/>
      <c r="EE10" s="61"/>
      <c r="EF10" s="61"/>
      <c r="EG10" s="61"/>
      <c r="EH10" s="61"/>
      <c r="EI10" s="61"/>
      <c r="EJ10" s="61"/>
      <c r="EK10" s="61"/>
      <c r="EL10" s="61"/>
      <c r="EM10" s="61"/>
      <c r="EN10" s="61"/>
      <c r="EO10" s="61"/>
      <c r="EP10" s="61"/>
      <c r="EQ10" s="61"/>
      <c r="ER10" s="61"/>
      <c r="ES10" s="61"/>
      <c r="ET10" s="61"/>
      <c r="EU10" s="61"/>
      <c r="EV10" s="61"/>
      <c r="EW10" s="61"/>
      <c r="EX10" s="61"/>
      <c r="EY10" s="61"/>
      <c r="EZ10" s="61"/>
      <c r="FA10" s="61"/>
      <c r="FB10" s="61"/>
      <c r="FC10" s="61"/>
      <c r="FD10" s="61"/>
      <c r="FE10" s="61"/>
      <c r="FF10" s="61"/>
      <c r="FG10" s="61"/>
      <c r="FH10" s="61"/>
      <c r="FI10" s="61"/>
      <c r="FJ10" s="61"/>
      <c r="FK10" s="61"/>
      <c r="FL10" s="61"/>
      <c r="FM10" s="61"/>
      <c r="FN10" s="61"/>
      <c r="FO10" s="61"/>
      <c r="FP10" s="61"/>
      <c r="FQ10" s="61"/>
      <c r="FR10" s="61"/>
      <c r="FS10" s="61"/>
      <c r="FT10" s="61"/>
      <c r="FU10" s="61"/>
      <c r="FV10" s="61"/>
      <c r="FW10" s="61"/>
      <c r="FX10" s="61"/>
      <c r="FY10" s="61"/>
      <c r="FZ10" s="61"/>
      <c r="GA10" s="61"/>
      <c r="GB10" s="61"/>
      <c r="GC10" s="61"/>
      <c r="GD10" s="61"/>
      <c r="GE10" s="61"/>
      <c r="GF10" s="61"/>
      <c r="GG10" s="61"/>
      <c r="GH10" s="61"/>
      <c r="GI10" s="61"/>
      <c r="GJ10" s="61"/>
      <c r="GK10" s="61"/>
      <c r="GL10" s="61"/>
      <c r="GM10" s="61"/>
      <c r="GN10" s="61"/>
      <c r="GO10" s="61"/>
      <c r="GP10" s="61"/>
      <c r="GQ10" s="61"/>
      <c r="GR10" s="61"/>
      <c r="GS10" s="61"/>
      <c r="GT10" s="61"/>
      <c r="GU10" s="61"/>
      <c r="GV10" s="61"/>
      <c r="GW10" s="61"/>
      <c r="GX10" s="61"/>
      <c r="GY10" s="61"/>
      <c r="GZ10" s="61"/>
      <c r="HA10" s="61"/>
      <c r="HB10" s="61"/>
      <c r="HC10" s="61"/>
      <c r="HD10" s="61"/>
      <c r="HE10" s="61"/>
      <c r="HF10" s="61"/>
      <c r="HG10" s="61"/>
      <c r="HH10" s="61"/>
      <c r="HI10" s="61"/>
      <c r="HJ10" s="61"/>
      <c r="HK10" s="61"/>
      <c r="HL10" s="61"/>
      <c r="HM10" s="61"/>
      <c r="HN10" s="61"/>
      <c r="HO10" s="61"/>
      <c r="HP10" s="61"/>
      <c r="HQ10" s="61"/>
      <c r="HR10" s="61"/>
      <c r="HS10" s="61"/>
      <c r="HT10" s="61"/>
      <c r="HU10" s="61"/>
      <c r="HV10" s="61"/>
      <c r="HW10" s="61"/>
      <c r="HX10" s="61"/>
      <c r="HY10" s="61"/>
      <c r="HZ10" s="61"/>
      <c r="IA10" s="61"/>
      <c r="IB10" s="61"/>
      <c r="IC10" s="61"/>
      <c r="ID10" s="61"/>
      <c r="IE10" s="61"/>
      <c r="IF10" s="61"/>
      <c r="IG10" s="61"/>
      <c r="IH10" s="61"/>
      <c r="II10" s="61"/>
      <c r="IJ10" s="61"/>
      <c r="IK10" s="61"/>
      <c r="IL10" s="61"/>
      <c r="IM10" s="61"/>
      <c r="IN10" s="61"/>
      <c r="IO10" s="61"/>
      <c r="IP10" s="61"/>
      <c r="IQ10" s="61"/>
      <c r="IR10" s="61"/>
      <c r="IS10" s="61"/>
      <c r="IT10" s="61"/>
      <c r="IU10" s="61"/>
      <c r="IV10" s="61"/>
      <c r="IW10" s="61"/>
      <c r="IX10" s="61"/>
      <c r="IY10" s="61"/>
      <c r="IZ10" s="61"/>
      <c r="JA10" s="61"/>
      <c r="JB10" s="61"/>
      <c r="JC10" s="61"/>
      <c r="JD10" s="61"/>
      <c r="JE10" s="61"/>
      <c r="JF10" s="61"/>
      <c r="JG10" s="61"/>
      <c r="JH10" s="61"/>
      <c r="JI10" s="61"/>
      <c r="JJ10" s="61"/>
      <c r="JK10" s="61"/>
      <c r="JL10" s="61"/>
      <c r="JM10" s="61"/>
      <c r="JN10" s="61"/>
      <c r="JO10" s="61"/>
      <c r="JP10" s="61"/>
      <c r="JQ10" s="61"/>
      <c r="JR10" s="61"/>
      <c r="JS10" s="61"/>
      <c r="JT10" s="61"/>
      <c r="JU10" s="61"/>
      <c r="JV10" s="61"/>
      <c r="JW10" s="61"/>
      <c r="JX10" s="61"/>
      <c r="JY10" s="61"/>
      <c r="JZ10" s="61"/>
      <c r="KA10" s="61"/>
      <c r="KB10" s="61"/>
      <c r="KC10" s="61"/>
      <c r="KD10" s="61"/>
      <c r="KE10" s="61"/>
      <c r="KF10" s="61"/>
      <c r="KG10" s="61"/>
      <c r="KH10" s="61"/>
      <c r="KI10" s="61"/>
      <c r="KJ10" s="61"/>
      <c r="KK10" s="61"/>
      <c r="KL10" s="61"/>
      <c r="KM10" s="61"/>
      <c r="KN10" s="61"/>
      <c r="KO10" s="61"/>
      <c r="KP10" s="61"/>
      <c r="KQ10" s="61"/>
      <c r="KR10" s="61"/>
      <c r="KS10" s="61"/>
      <c r="KT10" s="61"/>
      <c r="KU10" s="61"/>
      <c r="KV10" s="61"/>
      <c r="KW10" s="61"/>
      <c r="KX10" s="61"/>
      <c r="KY10" s="61"/>
      <c r="KZ10" s="61"/>
      <c r="LA10" s="61"/>
      <c r="LB10" s="61"/>
      <c r="LC10" s="61"/>
      <c r="LD10" s="61"/>
      <c r="LE10" s="61"/>
      <c r="LF10" s="61"/>
      <c r="LG10" s="61"/>
      <c r="LH10" s="61"/>
      <c r="LI10" s="61"/>
      <c r="LJ10" s="61"/>
      <c r="LK10" s="61"/>
      <c r="LL10" s="61"/>
      <c r="LM10" s="61"/>
      <c r="LN10" s="61"/>
      <c r="LO10" s="61"/>
      <c r="LP10" s="61"/>
      <c r="LQ10" s="61"/>
      <c r="LR10" s="61"/>
      <c r="LS10" s="61"/>
      <c r="LT10" s="61"/>
      <c r="LU10" s="61"/>
      <c r="LV10" s="61"/>
      <c r="LW10" s="61"/>
      <c r="LX10" s="61"/>
      <c r="LY10" s="61"/>
      <c r="LZ10" s="61"/>
      <c r="MA10" s="61"/>
      <c r="MB10" s="61"/>
      <c r="MC10" s="61"/>
      <c r="MD10" s="61"/>
      <c r="ME10" s="61"/>
      <c r="MF10" s="61"/>
      <c r="MG10" s="61"/>
      <c r="MH10" s="61"/>
      <c r="MI10" s="61"/>
      <c r="MJ10" s="61"/>
      <c r="MK10" s="61"/>
      <c r="ML10" s="61"/>
      <c r="MM10" s="61"/>
      <c r="MN10" s="61"/>
      <c r="MO10" s="61"/>
      <c r="MP10" s="61"/>
      <c r="MQ10" s="61"/>
      <c r="MR10" s="61"/>
      <c r="MS10" s="61"/>
      <c r="MT10" s="61"/>
      <c r="MU10" s="61"/>
      <c r="MV10" s="61"/>
      <c r="MW10" s="61"/>
      <c r="MX10" s="61"/>
      <c r="MY10" s="61"/>
      <c r="MZ10" s="61"/>
      <c r="NA10" s="61"/>
      <c r="NB10" s="61"/>
      <c r="NC10" s="61"/>
      <c r="ND10" s="61"/>
      <c r="NE10" s="61"/>
      <c r="NF10" s="59"/>
      <c r="NG10" s="61"/>
      <c r="NH10" s="61"/>
      <c r="NI10" s="61"/>
      <c r="NJ10" s="61"/>
      <c r="OH10" s="15" t="s">
        <v>2</v>
      </c>
      <c r="OI10" s="15" t="s">
        <v>3</v>
      </c>
      <c r="OK10" s="5" t="s">
        <v>4</v>
      </c>
      <c r="OR10" s="15" t="s">
        <v>5</v>
      </c>
      <c r="OS10" s="15" t="s">
        <v>6</v>
      </c>
      <c r="OT10" s="15" t="s">
        <v>7</v>
      </c>
      <c r="OU10" s="15" t="s">
        <v>8</v>
      </c>
      <c r="OV10" s="15" t="s">
        <v>9</v>
      </c>
    </row>
    <row r="11" spans="1:427" ht="0.75" customHeight="1" x14ac:dyDescent="0.2">
      <c r="A11" s="28"/>
      <c r="B11" s="22"/>
      <c r="C11" s="22"/>
      <c r="D11" s="44"/>
      <c r="E11" s="23"/>
      <c r="F11" s="24" t="s">
        <v>10</v>
      </c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33"/>
    </row>
    <row r="12" spans="1:427" ht="13.5" customHeight="1" x14ac:dyDescent="0.2">
      <c r="A12" s="28"/>
      <c r="B12" s="41"/>
      <c r="C12" s="26"/>
      <c r="D12" s="44"/>
      <c r="E12" s="23"/>
      <c r="F12" s="24"/>
      <c r="G12" s="48">
        <v>43101</v>
      </c>
      <c r="H12" s="48">
        <v>43102</v>
      </c>
      <c r="I12" s="48">
        <v>43103</v>
      </c>
      <c r="J12" s="48">
        <v>43104</v>
      </c>
      <c r="K12" s="48">
        <v>43105</v>
      </c>
      <c r="L12" s="48">
        <v>43106</v>
      </c>
      <c r="M12" s="48">
        <v>43107</v>
      </c>
      <c r="N12" s="48">
        <v>43108</v>
      </c>
      <c r="O12" s="48">
        <v>43109</v>
      </c>
      <c r="P12" s="48">
        <v>43110</v>
      </c>
      <c r="Q12" s="48">
        <v>43111</v>
      </c>
      <c r="R12" s="48">
        <v>43112</v>
      </c>
      <c r="S12" s="48">
        <v>43113</v>
      </c>
      <c r="T12" s="48">
        <v>43114</v>
      </c>
      <c r="U12" s="48">
        <v>43115</v>
      </c>
      <c r="V12" s="48">
        <v>43116</v>
      </c>
      <c r="W12" s="48">
        <v>43117</v>
      </c>
      <c r="X12" s="48">
        <v>43118</v>
      </c>
      <c r="Y12" s="48">
        <v>43119</v>
      </c>
      <c r="Z12" s="48">
        <v>43120</v>
      </c>
      <c r="AA12" s="48">
        <v>43121</v>
      </c>
      <c r="AB12" s="48">
        <v>43122</v>
      </c>
      <c r="AC12" s="48">
        <v>43123</v>
      </c>
      <c r="AD12" s="48">
        <v>43124</v>
      </c>
      <c r="AE12" s="48">
        <v>43125</v>
      </c>
      <c r="AF12" s="48">
        <v>43126</v>
      </c>
      <c r="AG12" s="48">
        <v>43127</v>
      </c>
      <c r="AH12" s="48">
        <v>43128</v>
      </c>
      <c r="AI12" s="48">
        <v>43129</v>
      </c>
      <c r="AJ12" s="48">
        <v>43130</v>
      </c>
      <c r="AK12" s="48">
        <v>43131</v>
      </c>
      <c r="AL12" s="48">
        <v>43132</v>
      </c>
      <c r="AM12" s="48">
        <v>43133</v>
      </c>
      <c r="AN12" s="48">
        <v>43134</v>
      </c>
      <c r="AO12" s="48">
        <v>43135</v>
      </c>
      <c r="AP12" s="48">
        <v>43136</v>
      </c>
      <c r="AQ12" s="48">
        <v>43137</v>
      </c>
      <c r="AR12" s="48">
        <v>43138</v>
      </c>
      <c r="AS12" s="48">
        <v>43139</v>
      </c>
      <c r="AT12" s="48">
        <v>43140</v>
      </c>
      <c r="AU12" s="48">
        <v>43141</v>
      </c>
      <c r="AV12" s="48">
        <v>43142</v>
      </c>
      <c r="AW12" s="48">
        <v>43143</v>
      </c>
      <c r="AX12" s="48">
        <v>43144</v>
      </c>
      <c r="AY12" s="48">
        <v>43145</v>
      </c>
      <c r="AZ12" s="48">
        <v>43146</v>
      </c>
      <c r="BA12" s="48">
        <v>43147</v>
      </c>
      <c r="BB12" s="48">
        <v>43148</v>
      </c>
      <c r="BC12" s="48">
        <v>43149</v>
      </c>
      <c r="BD12" s="48">
        <v>43150</v>
      </c>
      <c r="BE12" s="48">
        <v>43151</v>
      </c>
      <c r="BF12" s="48">
        <v>43152</v>
      </c>
      <c r="BG12" s="48">
        <v>43153</v>
      </c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33"/>
    </row>
    <row r="13" spans="1:427" ht="13.5" customHeight="1" x14ac:dyDescent="0.2">
      <c r="A13" s="28" t="s">
        <v>74</v>
      </c>
      <c r="B13" s="41" t="s">
        <v>17</v>
      </c>
      <c r="C13" s="26"/>
      <c r="D13" s="44">
        <v>2</v>
      </c>
      <c r="E13" s="23" t="s">
        <v>18</v>
      </c>
      <c r="F13" s="24"/>
      <c r="G13" s="25"/>
      <c r="H13" s="25"/>
      <c r="I13" s="25"/>
      <c r="J13" s="25"/>
      <c r="K13" s="25"/>
      <c r="L13" s="25"/>
      <c r="M13" s="25"/>
      <c r="N13" s="25"/>
      <c r="O13" s="49" t="s">
        <v>79</v>
      </c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33"/>
      <c r="OG13" s="18">
        <v>1</v>
      </c>
      <c r="OH13" s="18">
        <v>43336</v>
      </c>
      <c r="OI13" s="18">
        <v>43388</v>
      </c>
      <c r="PJ13" s="20" t="s">
        <v>11</v>
      </c>
      <c r="PK13" s="20">
        <v>106</v>
      </c>
    </row>
    <row r="14" spans="1:427" ht="0.75" customHeight="1" x14ac:dyDescent="0.2">
      <c r="A14" s="28" t="s">
        <v>74</v>
      </c>
      <c r="B14" s="22"/>
      <c r="C14" s="22"/>
      <c r="D14" s="44">
        <v>2</v>
      </c>
      <c r="E14" s="23"/>
      <c r="F14" s="24" t="s">
        <v>10</v>
      </c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33"/>
    </row>
    <row r="15" spans="1:427" ht="13.5" customHeight="1" x14ac:dyDescent="0.2">
      <c r="A15" s="28" t="s">
        <v>74</v>
      </c>
      <c r="B15" s="22" t="s">
        <v>21</v>
      </c>
      <c r="C15" s="26"/>
      <c r="D15" s="44">
        <v>2</v>
      </c>
      <c r="E15" s="23" t="s">
        <v>22</v>
      </c>
      <c r="F15" s="24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25"/>
      <c r="JR15" s="25"/>
      <c r="JS15" s="25"/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25"/>
      <c r="KR15" s="25"/>
      <c r="KS15" s="25"/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25"/>
      <c r="LU15" s="25"/>
      <c r="LV15" s="25"/>
      <c r="LW15" s="25"/>
      <c r="LX15" s="25"/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25"/>
      <c r="MT15" s="25"/>
      <c r="MU15" s="25"/>
      <c r="MV15" s="25"/>
      <c r="MW15" s="25"/>
      <c r="MX15" s="25"/>
      <c r="MY15" s="25"/>
      <c r="MZ15" s="25"/>
      <c r="NA15" s="25"/>
      <c r="NB15" s="25"/>
      <c r="NC15" s="25"/>
      <c r="ND15" s="25"/>
      <c r="NE15" s="33"/>
      <c r="OG15" s="18">
        <v>1</v>
      </c>
      <c r="OH15" s="18">
        <v>43196</v>
      </c>
      <c r="OI15" s="18">
        <v>43248</v>
      </c>
      <c r="PJ15" s="20" t="s">
        <v>11</v>
      </c>
      <c r="PK15" s="20">
        <v>106</v>
      </c>
    </row>
    <row r="16" spans="1:427" ht="0.75" customHeight="1" x14ac:dyDescent="0.2">
      <c r="A16" s="28" t="s">
        <v>74</v>
      </c>
      <c r="B16" s="22"/>
      <c r="C16" s="22"/>
      <c r="D16" s="44">
        <v>2</v>
      </c>
      <c r="E16" s="23"/>
      <c r="F16" s="24" t="s">
        <v>10</v>
      </c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  <c r="HM16" s="25"/>
      <c r="HN16" s="25"/>
      <c r="HO16" s="25"/>
      <c r="HP16" s="25"/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25"/>
      <c r="JE16" s="25"/>
      <c r="JF16" s="25"/>
      <c r="JG16" s="25"/>
      <c r="JH16" s="25"/>
      <c r="JI16" s="25"/>
      <c r="JJ16" s="25"/>
      <c r="JK16" s="25"/>
      <c r="JL16" s="25"/>
      <c r="JM16" s="25"/>
      <c r="JN16" s="25"/>
      <c r="JO16" s="25"/>
      <c r="JP16" s="25"/>
      <c r="JQ16" s="25"/>
      <c r="JR16" s="25"/>
      <c r="JS16" s="25"/>
      <c r="JT16" s="25"/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25"/>
      <c r="KP16" s="25"/>
      <c r="KQ16" s="25"/>
      <c r="KR16" s="25"/>
      <c r="KS16" s="25"/>
      <c r="KT16" s="25"/>
      <c r="KU16" s="25"/>
      <c r="KV16" s="25"/>
      <c r="KW16" s="25"/>
      <c r="KX16" s="25"/>
      <c r="KY16" s="25"/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25"/>
      <c r="LU16" s="25"/>
      <c r="LV16" s="25"/>
      <c r="LW16" s="25"/>
      <c r="LX16" s="25"/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25"/>
      <c r="MT16" s="25"/>
      <c r="MU16" s="25"/>
      <c r="MV16" s="25"/>
      <c r="MW16" s="25"/>
      <c r="MX16" s="25"/>
      <c r="MY16" s="25"/>
      <c r="MZ16" s="25"/>
      <c r="NA16" s="25"/>
      <c r="NB16" s="25"/>
      <c r="NC16" s="25"/>
      <c r="ND16" s="25"/>
      <c r="NE16" s="33"/>
    </row>
    <row r="17" spans="1:427" ht="13.5" customHeight="1" x14ac:dyDescent="0.2">
      <c r="A17" s="28" t="s">
        <v>74</v>
      </c>
      <c r="B17" s="22" t="s">
        <v>23</v>
      </c>
      <c r="C17" s="26"/>
      <c r="D17" s="44">
        <v>2</v>
      </c>
      <c r="E17" s="23" t="s">
        <v>24</v>
      </c>
      <c r="F17" s="24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25"/>
      <c r="JR17" s="25"/>
      <c r="JS17" s="25"/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25"/>
      <c r="KR17" s="25"/>
      <c r="KS17" s="25"/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25"/>
      <c r="LU17" s="25"/>
      <c r="LV17" s="25"/>
      <c r="LW17" s="25"/>
      <c r="LX17" s="25"/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25"/>
      <c r="MT17" s="25"/>
      <c r="MU17" s="25"/>
      <c r="MV17" s="25"/>
      <c r="MW17" s="25"/>
      <c r="MX17" s="25"/>
      <c r="MY17" s="25"/>
      <c r="MZ17" s="25"/>
      <c r="NA17" s="25"/>
      <c r="NB17" s="25"/>
      <c r="NC17" s="25"/>
      <c r="ND17" s="25"/>
      <c r="NE17" s="33"/>
      <c r="OG17" s="18">
        <v>1</v>
      </c>
      <c r="OH17" s="18">
        <v>43336</v>
      </c>
      <c r="OI17" s="18">
        <v>43388</v>
      </c>
      <c r="PJ17" s="20" t="s">
        <v>11</v>
      </c>
      <c r="PK17" s="20">
        <v>106</v>
      </c>
    </row>
    <row r="18" spans="1:427" ht="0.75" customHeight="1" x14ac:dyDescent="0.2">
      <c r="A18" s="28" t="s">
        <v>74</v>
      </c>
      <c r="B18" s="22"/>
      <c r="C18" s="22"/>
      <c r="D18" s="44">
        <v>2</v>
      </c>
      <c r="E18" s="23"/>
      <c r="F18" s="24" t="s">
        <v>10</v>
      </c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  <c r="HM18" s="25"/>
      <c r="HN18" s="25"/>
      <c r="HO18" s="25"/>
      <c r="HP18" s="25"/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25"/>
      <c r="JE18" s="25"/>
      <c r="JF18" s="25"/>
      <c r="JG18" s="25"/>
      <c r="JH18" s="25"/>
      <c r="JI18" s="25"/>
      <c r="JJ18" s="25"/>
      <c r="JK18" s="25"/>
      <c r="JL18" s="25"/>
      <c r="JM18" s="25"/>
      <c r="JN18" s="25"/>
      <c r="JO18" s="25"/>
      <c r="JP18" s="25"/>
      <c r="JQ18" s="25"/>
      <c r="JR18" s="25"/>
      <c r="JS18" s="25"/>
      <c r="JT18" s="25"/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25"/>
      <c r="KP18" s="25"/>
      <c r="KQ18" s="25"/>
      <c r="KR18" s="25"/>
      <c r="KS18" s="25"/>
      <c r="KT18" s="25"/>
      <c r="KU18" s="25"/>
      <c r="KV18" s="25"/>
      <c r="KW18" s="25"/>
      <c r="KX18" s="25"/>
      <c r="KY18" s="25"/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25"/>
      <c r="LU18" s="25"/>
      <c r="LV18" s="25"/>
      <c r="LW18" s="25"/>
      <c r="LX18" s="25"/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25"/>
      <c r="MT18" s="25"/>
      <c r="MU18" s="25"/>
      <c r="MV18" s="25"/>
      <c r="MW18" s="25"/>
      <c r="MX18" s="25"/>
      <c r="MY18" s="25"/>
      <c r="MZ18" s="25"/>
      <c r="NA18" s="25"/>
      <c r="NB18" s="25"/>
      <c r="NC18" s="25"/>
      <c r="ND18" s="25"/>
      <c r="NE18" s="33"/>
    </row>
    <row r="19" spans="1:427" ht="13.5" customHeight="1" x14ac:dyDescent="0.2">
      <c r="A19" s="28" t="s">
        <v>74</v>
      </c>
      <c r="B19" s="22" t="s">
        <v>25</v>
      </c>
      <c r="C19" s="26"/>
      <c r="D19" s="44">
        <v>2</v>
      </c>
      <c r="E19" s="23" t="s">
        <v>26</v>
      </c>
      <c r="F19" s="24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25"/>
      <c r="LU19" s="25"/>
      <c r="LV19" s="25"/>
      <c r="LW19" s="25"/>
      <c r="LX19" s="25"/>
      <c r="LY19" s="25"/>
      <c r="LZ19" s="25"/>
      <c r="MA19" s="25"/>
      <c r="MB19" s="25"/>
      <c r="MC19" s="25"/>
      <c r="MD19" s="25"/>
      <c r="ME19" s="25"/>
      <c r="MF19" s="25"/>
      <c r="MG19" s="25"/>
      <c r="MH19" s="25"/>
      <c r="MI19" s="25"/>
      <c r="MJ19" s="25"/>
      <c r="MK19" s="25"/>
      <c r="ML19" s="25"/>
      <c r="MM19" s="25"/>
      <c r="MN19" s="25"/>
      <c r="MO19" s="25"/>
      <c r="MP19" s="25"/>
      <c r="MQ19" s="25"/>
      <c r="MR19" s="25"/>
      <c r="MS19" s="25"/>
      <c r="MT19" s="25"/>
      <c r="MU19" s="25"/>
      <c r="MV19" s="25"/>
      <c r="MW19" s="25"/>
      <c r="MX19" s="25"/>
      <c r="MY19" s="25"/>
      <c r="MZ19" s="25"/>
      <c r="NA19" s="25"/>
      <c r="NB19" s="25"/>
      <c r="NC19" s="25"/>
      <c r="ND19" s="25"/>
      <c r="NE19" s="33"/>
      <c r="OG19" s="18">
        <v>1</v>
      </c>
      <c r="OH19" s="18">
        <v>43196</v>
      </c>
      <c r="OI19" s="18">
        <v>43248</v>
      </c>
      <c r="PJ19" s="20" t="s">
        <v>11</v>
      </c>
      <c r="PK19" s="20">
        <v>106</v>
      </c>
    </row>
    <row r="20" spans="1:427" ht="0.75" customHeight="1" x14ac:dyDescent="0.2">
      <c r="A20" s="28" t="s">
        <v>74</v>
      </c>
      <c r="B20" s="22"/>
      <c r="C20" s="22"/>
      <c r="D20" s="44"/>
      <c r="E20" s="23"/>
      <c r="F20" s="24" t="s">
        <v>10</v>
      </c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  <c r="HM20" s="25"/>
      <c r="HN20" s="25"/>
      <c r="HO20" s="25"/>
      <c r="HP20" s="25"/>
      <c r="HQ20" s="25"/>
      <c r="HR20" s="25"/>
      <c r="HS20" s="25"/>
      <c r="HT20" s="25"/>
      <c r="HU20" s="25"/>
      <c r="HV20" s="25"/>
      <c r="HW20" s="25"/>
      <c r="HX20" s="25"/>
      <c r="HY20" s="25"/>
      <c r="HZ20" s="25"/>
      <c r="IA20" s="25"/>
      <c r="IB20" s="25"/>
      <c r="IC20" s="25"/>
      <c r="ID20" s="25"/>
      <c r="IE20" s="25"/>
      <c r="IF20" s="25"/>
      <c r="IG20" s="25"/>
      <c r="IH20" s="25"/>
      <c r="II20" s="25"/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25"/>
      <c r="JE20" s="25"/>
      <c r="JF20" s="25"/>
      <c r="JG20" s="25"/>
      <c r="JH20" s="25"/>
      <c r="JI20" s="25"/>
      <c r="JJ20" s="25"/>
      <c r="JK20" s="25"/>
      <c r="JL20" s="25"/>
      <c r="JM20" s="25"/>
      <c r="JN20" s="25"/>
      <c r="JO20" s="25"/>
      <c r="JP20" s="25"/>
      <c r="JQ20" s="25"/>
      <c r="JR20" s="25"/>
      <c r="JS20" s="25"/>
      <c r="JT20" s="25"/>
      <c r="JU20" s="25"/>
      <c r="JV20" s="25"/>
      <c r="JW20" s="25"/>
      <c r="JX20" s="25"/>
      <c r="JY20" s="25"/>
      <c r="JZ20" s="25"/>
      <c r="KA20" s="25"/>
      <c r="KB20" s="25"/>
      <c r="KC20" s="25"/>
      <c r="KD20" s="25"/>
      <c r="KE20" s="25"/>
      <c r="KF20" s="25"/>
      <c r="KG20" s="25"/>
      <c r="KH20" s="25"/>
      <c r="KI20" s="25"/>
      <c r="KJ20" s="25"/>
      <c r="KK20" s="25"/>
      <c r="KL20" s="25"/>
      <c r="KM20" s="25"/>
      <c r="KN20" s="25"/>
      <c r="KO20" s="25"/>
      <c r="KP20" s="25"/>
      <c r="KQ20" s="25"/>
      <c r="KR20" s="25"/>
      <c r="KS20" s="25"/>
      <c r="KT20" s="25"/>
      <c r="KU20" s="25"/>
      <c r="KV20" s="25"/>
      <c r="KW20" s="25"/>
      <c r="KX20" s="25"/>
      <c r="KY20" s="25"/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25"/>
      <c r="LU20" s="25"/>
      <c r="LV20" s="25"/>
      <c r="LW20" s="25"/>
      <c r="LX20" s="25"/>
      <c r="LY20" s="25"/>
      <c r="LZ20" s="25"/>
      <c r="MA20" s="25"/>
      <c r="MB20" s="25"/>
      <c r="MC20" s="25"/>
      <c r="MD20" s="25"/>
      <c r="ME20" s="25"/>
      <c r="MF20" s="25"/>
      <c r="MG20" s="25"/>
      <c r="MH20" s="25"/>
      <c r="MI20" s="25"/>
      <c r="MJ20" s="25"/>
      <c r="MK20" s="25"/>
      <c r="ML20" s="25"/>
      <c r="MM20" s="25"/>
      <c r="MN20" s="25"/>
      <c r="MO20" s="25"/>
      <c r="MP20" s="25"/>
      <c r="MQ20" s="25"/>
      <c r="MR20" s="25"/>
      <c r="MS20" s="25"/>
      <c r="MT20" s="25"/>
      <c r="MU20" s="25"/>
      <c r="MV20" s="25"/>
      <c r="MW20" s="25"/>
      <c r="MX20" s="25"/>
      <c r="MY20" s="25"/>
      <c r="MZ20" s="25"/>
      <c r="NA20" s="25"/>
      <c r="NB20" s="25"/>
      <c r="NC20" s="25"/>
      <c r="ND20" s="25"/>
      <c r="NE20" s="33"/>
    </row>
    <row r="21" spans="1:427" ht="13.2" customHeight="1" x14ac:dyDescent="0.2">
      <c r="A21" s="28" t="s">
        <v>74</v>
      </c>
      <c r="B21" s="41" t="s">
        <v>27</v>
      </c>
      <c r="C21" s="26"/>
      <c r="D21" s="44">
        <v>1.5</v>
      </c>
      <c r="E21" s="23" t="s">
        <v>28</v>
      </c>
      <c r="F21" s="24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49" t="s">
        <v>107</v>
      </c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25"/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25"/>
      <c r="HI21" s="25"/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25"/>
      <c r="JR21" s="25"/>
      <c r="JS21" s="25"/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25"/>
      <c r="KR21" s="25"/>
      <c r="KS21" s="25"/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25"/>
      <c r="LU21" s="25"/>
      <c r="LV21" s="25"/>
      <c r="LW21" s="25"/>
      <c r="LX21" s="25"/>
      <c r="LY21" s="25"/>
      <c r="LZ21" s="25"/>
      <c r="MA21" s="25"/>
      <c r="MB21" s="25"/>
      <c r="MC21" s="25"/>
      <c r="MD21" s="25"/>
      <c r="ME21" s="25"/>
      <c r="MF21" s="25"/>
      <c r="MG21" s="25"/>
      <c r="MH21" s="25"/>
      <c r="MI21" s="25"/>
      <c r="MJ21" s="25"/>
      <c r="MK21" s="25"/>
      <c r="ML21" s="25"/>
      <c r="MM21" s="25"/>
      <c r="MN21" s="25"/>
      <c r="MO21" s="25"/>
      <c r="MP21" s="25"/>
      <c r="MQ21" s="25"/>
      <c r="MR21" s="25"/>
      <c r="MS21" s="25"/>
      <c r="MT21" s="25"/>
      <c r="MU21" s="25"/>
      <c r="MV21" s="25"/>
      <c r="MW21" s="25"/>
      <c r="MX21" s="25"/>
      <c r="MY21" s="25"/>
      <c r="MZ21" s="25"/>
      <c r="NA21" s="25"/>
      <c r="NB21" s="25"/>
      <c r="NC21" s="25"/>
      <c r="ND21" s="25"/>
      <c r="NE21" s="33"/>
      <c r="OG21" s="18">
        <v>1</v>
      </c>
      <c r="OH21" s="18">
        <v>43336</v>
      </c>
      <c r="OI21" s="18">
        <v>43388</v>
      </c>
      <c r="PJ21" s="20" t="s">
        <v>11</v>
      </c>
      <c r="PK21" s="20">
        <v>106</v>
      </c>
    </row>
    <row r="22" spans="1:427" ht="0.6" customHeight="1" x14ac:dyDescent="0.2">
      <c r="A22" s="28" t="s">
        <v>74</v>
      </c>
      <c r="B22" s="22"/>
      <c r="C22" s="22"/>
      <c r="D22" s="44"/>
      <c r="E22" s="23"/>
      <c r="F22" s="24" t="s">
        <v>10</v>
      </c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25"/>
      <c r="HI22" s="25"/>
      <c r="HJ22" s="25"/>
      <c r="HK22" s="25"/>
      <c r="HL22" s="25"/>
      <c r="HM22" s="25"/>
      <c r="HN22" s="25"/>
      <c r="HO22" s="25"/>
      <c r="HP22" s="2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25"/>
      <c r="IB22" s="25"/>
      <c r="IC22" s="25"/>
      <c r="ID22" s="25"/>
      <c r="IE22" s="25"/>
      <c r="IF22" s="25"/>
      <c r="IG22" s="25"/>
      <c r="IH22" s="25"/>
      <c r="II22" s="25"/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25"/>
      <c r="JE22" s="25"/>
      <c r="JF22" s="25"/>
      <c r="JG22" s="25"/>
      <c r="JH22" s="25"/>
      <c r="JI22" s="25"/>
      <c r="JJ22" s="25"/>
      <c r="JK22" s="25"/>
      <c r="JL22" s="25"/>
      <c r="JM22" s="25"/>
      <c r="JN22" s="25"/>
      <c r="JO22" s="25"/>
      <c r="JP22" s="25"/>
      <c r="JQ22" s="25"/>
      <c r="JR22" s="25"/>
      <c r="JS22" s="25"/>
      <c r="JT22" s="25"/>
      <c r="JU22" s="25"/>
      <c r="JV22" s="25"/>
      <c r="JW22" s="25"/>
      <c r="JX22" s="25"/>
      <c r="JY22" s="25"/>
      <c r="JZ22" s="25"/>
      <c r="KA22" s="25"/>
      <c r="KB22" s="25"/>
      <c r="KC22" s="25"/>
      <c r="KD22" s="25"/>
      <c r="KE22" s="25"/>
      <c r="KF22" s="25"/>
      <c r="KG22" s="25"/>
      <c r="KH22" s="25"/>
      <c r="KI22" s="25"/>
      <c r="KJ22" s="25"/>
      <c r="KK22" s="25"/>
      <c r="KL22" s="25"/>
      <c r="KM22" s="25"/>
      <c r="KN22" s="25"/>
      <c r="KO22" s="25"/>
      <c r="KP22" s="25"/>
      <c r="KQ22" s="25"/>
      <c r="KR22" s="25"/>
      <c r="KS22" s="25"/>
      <c r="KT22" s="25"/>
      <c r="KU22" s="25"/>
      <c r="KV22" s="25"/>
      <c r="KW22" s="25"/>
      <c r="KX22" s="25"/>
      <c r="KY22" s="25"/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25"/>
      <c r="LU22" s="25"/>
      <c r="LV22" s="25"/>
      <c r="LW22" s="25"/>
      <c r="LX22" s="25"/>
      <c r="LY22" s="25"/>
      <c r="LZ22" s="25"/>
      <c r="MA22" s="25"/>
      <c r="MB22" s="25"/>
      <c r="MC22" s="25"/>
      <c r="MD22" s="25"/>
      <c r="ME22" s="25"/>
      <c r="MF22" s="25"/>
      <c r="MG22" s="25"/>
      <c r="MH22" s="25"/>
      <c r="MI22" s="25"/>
      <c r="MJ22" s="25"/>
      <c r="MK22" s="25"/>
      <c r="ML22" s="25"/>
      <c r="MM22" s="25"/>
      <c r="MN22" s="25"/>
      <c r="MO22" s="25"/>
      <c r="MP22" s="25"/>
      <c r="MQ22" s="25"/>
      <c r="MR22" s="25"/>
      <c r="MS22" s="25"/>
      <c r="MT22" s="25"/>
      <c r="MU22" s="25"/>
      <c r="MV22" s="25"/>
      <c r="MW22" s="25"/>
      <c r="MX22" s="25"/>
      <c r="MY22" s="25"/>
      <c r="MZ22" s="25"/>
      <c r="NA22" s="25"/>
      <c r="NB22" s="25"/>
      <c r="NC22" s="25"/>
      <c r="ND22" s="25"/>
      <c r="NE22" s="33"/>
    </row>
    <row r="23" spans="1:427" ht="13.5" customHeight="1" x14ac:dyDescent="0.2">
      <c r="A23" s="28" t="s">
        <v>74</v>
      </c>
      <c r="B23" s="41" t="s">
        <v>29</v>
      </c>
      <c r="C23" s="26"/>
      <c r="D23" s="44">
        <v>1</v>
      </c>
      <c r="E23" s="23" t="s">
        <v>30</v>
      </c>
      <c r="F23" s="24"/>
      <c r="G23" s="25"/>
      <c r="H23" s="25"/>
      <c r="I23" s="25"/>
      <c r="J23" s="49" t="s">
        <v>79</v>
      </c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25"/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25"/>
      <c r="HI23" s="25"/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25"/>
      <c r="JR23" s="25"/>
      <c r="JS23" s="25"/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25"/>
      <c r="KR23" s="25"/>
      <c r="KS23" s="25"/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  <c r="LH23" s="25"/>
      <c r="LI23" s="25"/>
      <c r="LJ23" s="25"/>
      <c r="LK23" s="25"/>
      <c r="LL23" s="25"/>
      <c r="LM23" s="25"/>
      <c r="LN23" s="25"/>
      <c r="LO23" s="25"/>
      <c r="LP23" s="25"/>
      <c r="LQ23" s="25"/>
      <c r="LR23" s="25"/>
      <c r="LS23" s="25"/>
      <c r="LT23" s="25"/>
      <c r="LU23" s="25"/>
      <c r="LV23" s="25"/>
      <c r="LW23" s="25"/>
      <c r="LX23" s="25"/>
      <c r="LY23" s="25"/>
      <c r="LZ23" s="25"/>
      <c r="MA23" s="25"/>
      <c r="MB23" s="25"/>
      <c r="MC23" s="25"/>
      <c r="MD23" s="25"/>
      <c r="ME23" s="25"/>
      <c r="MF23" s="25"/>
      <c r="MG23" s="25"/>
      <c r="MH23" s="25"/>
      <c r="MI23" s="25"/>
      <c r="MJ23" s="25"/>
      <c r="MK23" s="25"/>
      <c r="ML23" s="25"/>
      <c r="MM23" s="25"/>
      <c r="MN23" s="25"/>
      <c r="MO23" s="25"/>
      <c r="MP23" s="25"/>
      <c r="MQ23" s="25"/>
      <c r="MR23" s="25"/>
      <c r="MS23" s="25"/>
      <c r="MT23" s="25"/>
      <c r="MU23" s="25"/>
      <c r="MV23" s="25"/>
      <c r="MW23" s="25"/>
      <c r="MX23" s="25"/>
      <c r="MY23" s="25"/>
      <c r="MZ23" s="25"/>
      <c r="NA23" s="25"/>
      <c r="NB23" s="25"/>
      <c r="NC23" s="25"/>
      <c r="ND23" s="25"/>
      <c r="NE23" s="33"/>
      <c r="OG23" s="18">
        <v>1</v>
      </c>
      <c r="OH23" s="18">
        <v>43196</v>
      </c>
      <c r="OI23" s="18">
        <v>43248</v>
      </c>
      <c r="PJ23" s="20" t="s">
        <v>11</v>
      </c>
      <c r="PK23" s="20">
        <v>106</v>
      </c>
    </row>
    <row r="24" spans="1:427" ht="0.75" customHeight="1" x14ac:dyDescent="0.2">
      <c r="A24" s="28"/>
      <c r="B24" s="22"/>
      <c r="C24" s="22"/>
      <c r="D24" s="44"/>
      <c r="E24" s="23"/>
      <c r="F24" s="24" t="s">
        <v>10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25"/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25"/>
      <c r="HI24" s="25"/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25"/>
      <c r="IA24" s="25"/>
      <c r="IB24" s="25"/>
      <c r="IC24" s="25"/>
      <c r="ID24" s="25"/>
      <c r="IE24" s="25"/>
      <c r="IF24" s="25"/>
      <c r="IG24" s="25"/>
      <c r="IH24" s="25"/>
      <c r="II24" s="25"/>
      <c r="IJ24" s="25"/>
      <c r="IK24" s="25"/>
      <c r="IL24" s="25"/>
      <c r="IM24" s="25"/>
      <c r="IN24" s="25"/>
      <c r="IO24" s="25"/>
      <c r="IP24" s="25"/>
      <c r="IQ24" s="25"/>
      <c r="IR24" s="25"/>
      <c r="IS24" s="25"/>
      <c r="IT24" s="25"/>
      <c r="IU24" s="25"/>
      <c r="IV24" s="25"/>
      <c r="IW24" s="25"/>
      <c r="IX24" s="25"/>
      <c r="IY24" s="25"/>
      <c r="IZ24" s="25"/>
      <c r="JA24" s="25"/>
      <c r="JB24" s="25"/>
      <c r="JC24" s="25"/>
      <c r="JD24" s="25"/>
      <c r="JE24" s="25"/>
      <c r="JF24" s="25"/>
      <c r="JG24" s="25"/>
      <c r="JH24" s="25"/>
      <c r="JI24" s="25"/>
      <c r="JJ24" s="25"/>
      <c r="JK24" s="25"/>
      <c r="JL24" s="25"/>
      <c r="JM24" s="25"/>
      <c r="JN24" s="25"/>
      <c r="JO24" s="25"/>
      <c r="JP24" s="25"/>
      <c r="JQ24" s="25"/>
      <c r="JR24" s="25"/>
      <c r="JS24" s="25"/>
      <c r="JT24" s="25"/>
      <c r="JU24" s="25"/>
      <c r="JV24" s="25"/>
      <c r="JW24" s="25"/>
      <c r="JX24" s="25"/>
      <c r="JY24" s="25"/>
      <c r="JZ24" s="25"/>
      <c r="KA24" s="25"/>
      <c r="KB24" s="25"/>
      <c r="KC24" s="25"/>
      <c r="KD24" s="25"/>
      <c r="KE24" s="25"/>
      <c r="KF24" s="25"/>
      <c r="KG24" s="25"/>
      <c r="KH24" s="25"/>
      <c r="KI24" s="25"/>
      <c r="KJ24" s="25"/>
      <c r="KK24" s="25"/>
      <c r="KL24" s="25"/>
      <c r="KM24" s="25"/>
      <c r="KN24" s="25"/>
      <c r="KO24" s="25"/>
      <c r="KP24" s="25"/>
      <c r="KQ24" s="25"/>
      <c r="KR24" s="25"/>
      <c r="KS24" s="25"/>
      <c r="KT24" s="25"/>
      <c r="KU24" s="25"/>
      <c r="KV24" s="25"/>
      <c r="KW24" s="25"/>
      <c r="KX24" s="25"/>
      <c r="KY24" s="25"/>
      <c r="KZ24" s="25"/>
      <c r="LA24" s="25"/>
      <c r="LB24" s="25"/>
      <c r="LC24" s="25"/>
      <c r="LD24" s="25"/>
      <c r="LE24" s="25"/>
      <c r="LF24" s="25"/>
      <c r="LG24" s="25"/>
      <c r="LH24" s="25"/>
      <c r="LI24" s="25"/>
      <c r="LJ24" s="25"/>
      <c r="LK24" s="25"/>
      <c r="LL24" s="25"/>
      <c r="LM24" s="25"/>
      <c r="LN24" s="25"/>
      <c r="LO24" s="25"/>
      <c r="LP24" s="25"/>
      <c r="LQ24" s="25"/>
      <c r="LR24" s="25"/>
      <c r="LS24" s="25"/>
      <c r="LT24" s="25"/>
      <c r="LU24" s="25"/>
      <c r="LV24" s="25"/>
      <c r="LW24" s="25"/>
      <c r="LX24" s="25"/>
      <c r="LY24" s="25"/>
      <c r="LZ24" s="25"/>
      <c r="MA24" s="25"/>
      <c r="MB24" s="25"/>
      <c r="MC24" s="25"/>
      <c r="MD24" s="25"/>
      <c r="ME24" s="25"/>
      <c r="MF24" s="25"/>
      <c r="MG24" s="25"/>
      <c r="MH24" s="25"/>
      <c r="MI24" s="25"/>
      <c r="MJ24" s="25"/>
      <c r="MK24" s="25"/>
      <c r="ML24" s="25"/>
      <c r="MM24" s="25"/>
      <c r="MN24" s="25"/>
      <c r="MO24" s="25"/>
      <c r="MP24" s="25"/>
      <c r="MQ24" s="25"/>
      <c r="MR24" s="25"/>
      <c r="MS24" s="25"/>
      <c r="MT24" s="25"/>
      <c r="MU24" s="25"/>
      <c r="MV24" s="25"/>
      <c r="MW24" s="25"/>
      <c r="MX24" s="25"/>
      <c r="MY24" s="25"/>
      <c r="MZ24" s="25"/>
      <c r="NA24" s="25"/>
      <c r="NB24" s="25"/>
      <c r="NC24" s="25"/>
      <c r="ND24" s="25"/>
      <c r="NE24" s="33"/>
    </row>
    <row r="25" spans="1:427" ht="13.5" customHeight="1" x14ac:dyDescent="0.2">
      <c r="A25" s="28" t="s">
        <v>74</v>
      </c>
      <c r="B25" s="41" t="s">
        <v>31</v>
      </c>
      <c r="C25" s="26"/>
      <c r="D25" s="44">
        <v>1.5</v>
      </c>
      <c r="E25" s="23" t="s">
        <v>32</v>
      </c>
      <c r="F25" s="24"/>
      <c r="G25" s="25"/>
      <c r="H25" s="25"/>
      <c r="I25" s="25"/>
      <c r="J25" s="25"/>
      <c r="K25" s="49" t="s">
        <v>89</v>
      </c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  <c r="HM25" s="25"/>
      <c r="HN25" s="25"/>
      <c r="HO25" s="25"/>
      <c r="HP25" s="25"/>
      <c r="HQ25" s="25"/>
      <c r="HR25" s="25"/>
      <c r="HS25" s="25"/>
      <c r="HT25" s="25"/>
      <c r="HU25" s="25"/>
      <c r="HV25" s="25"/>
      <c r="HW25" s="25"/>
      <c r="HX25" s="25"/>
      <c r="HY25" s="25"/>
      <c r="HZ25" s="25"/>
      <c r="IA25" s="25"/>
      <c r="IB25" s="25"/>
      <c r="IC25" s="25"/>
      <c r="ID25" s="25"/>
      <c r="IE25" s="25"/>
      <c r="IF25" s="25"/>
      <c r="IG25" s="25"/>
      <c r="IH25" s="25"/>
      <c r="II25" s="25"/>
      <c r="IJ25" s="25"/>
      <c r="IK25" s="25"/>
      <c r="IL25" s="25"/>
      <c r="IM25" s="25"/>
      <c r="IN25" s="25"/>
      <c r="IO25" s="25"/>
      <c r="IP25" s="25"/>
      <c r="IQ25" s="25"/>
      <c r="IR25" s="25"/>
      <c r="IS25" s="25"/>
      <c r="IT25" s="25"/>
      <c r="IU25" s="25"/>
      <c r="IV25" s="25"/>
      <c r="IW25" s="25"/>
      <c r="IX25" s="25"/>
      <c r="IY25" s="25"/>
      <c r="IZ25" s="25"/>
      <c r="JA25" s="25"/>
      <c r="JB25" s="25"/>
      <c r="JC25" s="25"/>
      <c r="JD25" s="25"/>
      <c r="JE25" s="25"/>
      <c r="JF25" s="25"/>
      <c r="JG25" s="25"/>
      <c r="JH25" s="25"/>
      <c r="JI25" s="25"/>
      <c r="JJ25" s="25"/>
      <c r="JK25" s="25"/>
      <c r="JL25" s="25"/>
      <c r="JM25" s="25"/>
      <c r="JN25" s="25"/>
      <c r="JO25" s="25"/>
      <c r="JP25" s="25"/>
      <c r="JQ25" s="25"/>
      <c r="JR25" s="25"/>
      <c r="JS25" s="25"/>
      <c r="JT25" s="25"/>
      <c r="JU25" s="25"/>
      <c r="JV25" s="25"/>
      <c r="JW25" s="25"/>
      <c r="JX25" s="25"/>
      <c r="JY25" s="25"/>
      <c r="JZ25" s="25"/>
      <c r="KA25" s="25"/>
      <c r="KB25" s="25"/>
      <c r="KC25" s="25"/>
      <c r="KD25" s="25"/>
      <c r="KE25" s="25"/>
      <c r="KF25" s="25"/>
      <c r="KG25" s="25"/>
      <c r="KH25" s="25"/>
      <c r="KI25" s="25"/>
      <c r="KJ25" s="25"/>
      <c r="KK25" s="25"/>
      <c r="KL25" s="25"/>
      <c r="KM25" s="25"/>
      <c r="KN25" s="25"/>
      <c r="KO25" s="25"/>
      <c r="KP25" s="25"/>
      <c r="KQ25" s="25"/>
      <c r="KR25" s="25"/>
      <c r="KS25" s="25"/>
      <c r="KT25" s="25"/>
      <c r="KU25" s="25"/>
      <c r="KV25" s="25"/>
      <c r="KW25" s="25"/>
      <c r="KX25" s="25"/>
      <c r="KY25" s="25"/>
      <c r="KZ25" s="25"/>
      <c r="LA25" s="25"/>
      <c r="LB25" s="25"/>
      <c r="LC25" s="25"/>
      <c r="LD25" s="25"/>
      <c r="LE25" s="25"/>
      <c r="LF25" s="25"/>
      <c r="LG25" s="25"/>
      <c r="LH25" s="25"/>
      <c r="LI25" s="25"/>
      <c r="LJ25" s="25"/>
      <c r="LK25" s="25"/>
      <c r="LL25" s="25"/>
      <c r="LM25" s="25"/>
      <c r="LN25" s="25"/>
      <c r="LO25" s="25"/>
      <c r="LP25" s="25"/>
      <c r="LQ25" s="25"/>
      <c r="LR25" s="25"/>
      <c r="LS25" s="25"/>
      <c r="LT25" s="25"/>
      <c r="LU25" s="25"/>
      <c r="LV25" s="25"/>
      <c r="LW25" s="25"/>
      <c r="LX25" s="25"/>
      <c r="LY25" s="25"/>
      <c r="LZ25" s="25"/>
      <c r="MA25" s="25"/>
      <c r="MB25" s="25"/>
      <c r="MC25" s="25"/>
      <c r="MD25" s="25"/>
      <c r="ME25" s="25"/>
      <c r="MF25" s="25"/>
      <c r="MG25" s="25"/>
      <c r="MH25" s="25"/>
      <c r="MI25" s="25"/>
      <c r="MJ25" s="25"/>
      <c r="MK25" s="25"/>
      <c r="ML25" s="25"/>
      <c r="MM25" s="25"/>
      <c r="MN25" s="25"/>
      <c r="MO25" s="25"/>
      <c r="MP25" s="25"/>
      <c r="MQ25" s="25"/>
      <c r="MR25" s="25"/>
      <c r="MS25" s="25"/>
      <c r="MT25" s="25"/>
      <c r="MU25" s="25"/>
      <c r="MV25" s="25"/>
      <c r="MW25" s="25"/>
      <c r="MX25" s="25"/>
      <c r="MY25" s="25"/>
      <c r="MZ25" s="25"/>
      <c r="NA25" s="25"/>
      <c r="NB25" s="25"/>
      <c r="NC25" s="25"/>
      <c r="ND25" s="25"/>
      <c r="NE25" s="33"/>
      <c r="OG25" s="18">
        <v>1</v>
      </c>
      <c r="OH25" s="18">
        <v>43336</v>
      </c>
      <c r="OI25" s="18">
        <v>43388</v>
      </c>
      <c r="PJ25" s="20" t="s">
        <v>11</v>
      </c>
      <c r="PK25" s="20">
        <v>106</v>
      </c>
    </row>
    <row r="26" spans="1:427" ht="0.75" customHeight="1" x14ac:dyDescent="0.2">
      <c r="A26" s="28" t="s">
        <v>74</v>
      </c>
      <c r="B26" s="22"/>
      <c r="C26" s="22"/>
      <c r="D26" s="44"/>
      <c r="E26" s="23"/>
      <c r="F26" s="24" t="s">
        <v>10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  <c r="HM26" s="25"/>
      <c r="HN26" s="25"/>
      <c r="HO26" s="25"/>
      <c r="HP26" s="25"/>
      <c r="HQ26" s="25"/>
      <c r="HR26" s="25"/>
      <c r="HS26" s="25"/>
      <c r="HT26" s="25"/>
      <c r="HU26" s="25"/>
      <c r="HV26" s="25"/>
      <c r="HW26" s="25"/>
      <c r="HX26" s="25"/>
      <c r="HY26" s="25"/>
      <c r="HZ26" s="25"/>
      <c r="IA26" s="25"/>
      <c r="IB26" s="25"/>
      <c r="IC26" s="25"/>
      <c r="ID26" s="25"/>
      <c r="IE26" s="25"/>
      <c r="IF26" s="25"/>
      <c r="IG26" s="25"/>
      <c r="IH26" s="25"/>
      <c r="II26" s="25"/>
      <c r="IJ26" s="25"/>
      <c r="IK26" s="25"/>
      <c r="IL26" s="25"/>
      <c r="IM26" s="25"/>
      <c r="IN26" s="25"/>
      <c r="IO26" s="25"/>
      <c r="IP26" s="25"/>
      <c r="IQ26" s="25"/>
      <c r="IR26" s="25"/>
      <c r="IS26" s="25"/>
      <c r="IT26" s="25"/>
      <c r="IU26" s="25"/>
      <c r="IV26" s="25"/>
      <c r="IW26" s="25"/>
      <c r="IX26" s="25"/>
      <c r="IY26" s="25"/>
      <c r="IZ26" s="25"/>
      <c r="JA26" s="25"/>
      <c r="JB26" s="25"/>
      <c r="JC26" s="25"/>
      <c r="JD26" s="25"/>
      <c r="JE26" s="25"/>
      <c r="JF26" s="25"/>
      <c r="JG26" s="25"/>
      <c r="JH26" s="25"/>
      <c r="JI26" s="25"/>
      <c r="JJ26" s="25"/>
      <c r="JK26" s="25"/>
      <c r="JL26" s="25"/>
      <c r="JM26" s="25"/>
      <c r="JN26" s="25"/>
      <c r="JO26" s="25"/>
      <c r="JP26" s="25"/>
      <c r="JQ26" s="25"/>
      <c r="JR26" s="25"/>
      <c r="JS26" s="25"/>
      <c r="JT26" s="25"/>
      <c r="JU26" s="25"/>
      <c r="JV26" s="25"/>
      <c r="JW26" s="25"/>
      <c r="JX26" s="25"/>
      <c r="JY26" s="25"/>
      <c r="JZ26" s="25"/>
      <c r="KA26" s="25"/>
      <c r="KB26" s="25"/>
      <c r="KC26" s="25"/>
      <c r="KD26" s="25"/>
      <c r="KE26" s="25"/>
      <c r="KF26" s="25"/>
      <c r="KG26" s="25"/>
      <c r="KH26" s="25"/>
      <c r="KI26" s="25"/>
      <c r="KJ26" s="25"/>
      <c r="KK26" s="25"/>
      <c r="KL26" s="25"/>
      <c r="KM26" s="25"/>
      <c r="KN26" s="25"/>
      <c r="KO26" s="25"/>
      <c r="KP26" s="25"/>
      <c r="KQ26" s="25"/>
      <c r="KR26" s="25"/>
      <c r="KS26" s="25"/>
      <c r="KT26" s="25"/>
      <c r="KU26" s="25"/>
      <c r="KV26" s="25"/>
      <c r="KW26" s="25"/>
      <c r="KX26" s="25"/>
      <c r="KY26" s="25"/>
      <c r="KZ26" s="25"/>
      <c r="LA26" s="25"/>
      <c r="LB26" s="25"/>
      <c r="LC26" s="25"/>
      <c r="LD26" s="25"/>
      <c r="LE26" s="25"/>
      <c r="LF26" s="25"/>
      <c r="LG26" s="25"/>
      <c r="LH26" s="25"/>
      <c r="LI26" s="25"/>
      <c r="LJ26" s="25"/>
      <c r="LK26" s="25"/>
      <c r="LL26" s="25"/>
      <c r="LM26" s="25"/>
      <c r="LN26" s="25"/>
      <c r="LO26" s="25"/>
      <c r="LP26" s="25"/>
      <c r="LQ26" s="25"/>
      <c r="LR26" s="25"/>
      <c r="LS26" s="25"/>
      <c r="LT26" s="25"/>
      <c r="LU26" s="25"/>
      <c r="LV26" s="25"/>
      <c r="LW26" s="25"/>
      <c r="LX26" s="25"/>
      <c r="LY26" s="25"/>
      <c r="LZ26" s="25"/>
      <c r="MA26" s="25"/>
      <c r="MB26" s="25"/>
      <c r="MC26" s="25"/>
      <c r="MD26" s="25"/>
      <c r="ME26" s="25"/>
      <c r="MF26" s="25"/>
      <c r="MG26" s="25"/>
      <c r="MH26" s="25"/>
      <c r="MI26" s="25"/>
      <c r="MJ26" s="25"/>
      <c r="MK26" s="25"/>
      <c r="ML26" s="25"/>
      <c r="MM26" s="25"/>
      <c r="MN26" s="25"/>
      <c r="MO26" s="25"/>
      <c r="MP26" s="25"/>
      <c r="MQ26" s="25"/>
      <c r="MR26" s="25"/>
      <c r="MS26" s="25"/>
      <c r="MT26" s="25"/>
      <c r="MU26" s="25"/>
      <c r="MV26" s="25"/>
      <c r="MW26" s="25"/>
      <c r="MX26" s="25"/>
      <c r="MY26" s="25"/>
      <c r="MZ26" s="25"/>
      <c r="NA26" s="25"/>
      <c r="NB26" s="25"/>
      <c r="NC26" s="25"/>
      <c r="ND26" s="25"/>
      <c r="NE26" s="33"/>
    </row>
    <row r="27" spans="1:427" ht="13.5" customHeight="1" x14ac:dyDescent="0.2">
      <c r="A27" s="28" t="s">
        <v>74</v>
      </c>
      <c r="B27" s="22" t="s">
        <v>33</v>
      </c>
      <c r="C27" s="26"/>
      <c r="D27" s="44">
        <v>2</v>
      </c>
      <c r="E27" s="23" t="s">
        <v>34</v>
      </c>
      <c r="F27" s="24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25"/>
      <c r="FL27" s="25"/>
      <c r="FM27" s="25"/>
      <c r="FN27" s="25"/>
      <c r="FO27" s="25"/>
      <c r="FP27" s="25"/>
      <c r="FQ27" s="25"/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25"/>
      <c r="HI27" s="25"/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25"/>
      <c r="HZ27" s="25"/>
      <c r="IA27" s="25"/>
      <c r="IB27" s="25"/>
      <c r="IC27" s="25"/>
      <c r="ID27" s="25"/>
      <c r="IE27" s="25"/>
      <c r="IF27" s="25"/>
      <c r="IG27" s="25"/>
      <c r="IH27" s="25"/>
      <c r="II27" s="25"/>
      <c r="IJ27" s="25"/>
      <c r="IK27" s="25"/>
      <c r="IL27" s="25"/>
      <c r="IM27" s="25"/>
      <c r="IN27" s="25"/>
      <c r="IO27" s="25"/>
      <c r="IP27" s="25"/>
      <c r="IQ27" s="25"/>
      <c r="IR27" s="25"/>
      <c r="IS27" s="25"/>
      <c r="IT27" s="25"/>
      <c r="IU27" s="25"/>
      <c r="IV27" s="25"/>
      <c r="IW27" s="25"/>
      <c r="IX27" s="25"/>
      <c r="IY27" s="25"/>
      <c r="IZ27" s="25"/>
      <c r="JA27" s="25"/>
      <c r="JB27" s="25"/>
      <c r="JC27" s="25"/>
      <c r="JD27" s="25"/>
      <c r="JE27" s="25"/>
      <c r="JF27" s="25"/>
      <c r="JG27" s="25"/>
      <c r="JH27" s="25"/>
      <c r="JI27" s="25"/>
      <c r="JJ27" s="25"/>
      <c r="JK27" s="25"/>
      <c r="JL27" s="25"/>
      <c r="JM27" s="25"/>
      <c r="JN27" s="25"/>
      <c r="JO27" s="25"/>
      <c r="JP27" s="25"/>
      <c r="JQ27" s="25"/>
      <c r="JR27" s="25"/>
      <c r="JS27" s="25"/>
      <c r="JT27" s="25"/>
      <c r="JU27" s="25"/>
      <c r="JV27" s="25"/>
      <c r="JW27" s="25"/>
      <c r="JX27" s="25"/>
      <c r="JY27" s="25"/>
      <c r="JZ27" s="25"/>
      <c r="KA27" s="25"/>
      <c r="KB27" s="25"/>
      <c r="KC27" s="25"/>
      <c r="KD27" s="25"/>
      <c r="KE27" s="25"/>
      <c r="KF27" s="25"/>
      <c r="KG27" s="25"/>
      <c r="KH27" s="25"/>
      <c r="KI27" s="25"/>
      <c r="KJ27" s="25"/>
      <c r="KK27" s="25"/>
      <c r="KL27" s="25"/>
      <c r="KM27" s="25"/>
      <c r="KN27" s="25"/>
      <c r="KO27" s="25"/>
      <c r="KP27" s="25"/>
      <c r="KQ27" s="25"/>
      <c r="KR27" s="25"/>
      <c r="KS27" s="25"/>
      <c r="KT27" s="25"/>
      <c r="KU27" s="25"/>
      <c r="KV27" s="25"/>
      <c r="KW27" s="25"/>
      <c r="KX27" s="25"/>
      <c r="KY27" s="25"/>
      <c r="KZ27" s="25"/>
      <c r="LA27" s="25"/>
      <c r="LB27" s="25"/>
      <c r="LC27" s="25"/>
      <c r="LD27" s="25"/>
      <c r="LE27" s="25"/>
      <c r="LF27" s="25"/>
      <c r="LG27" s="25"/>
      <c r="LH27" s="25"/>
      <c r="LI27" s="25"/>
      <c r="LJ27" s="25"/>
      <c r="LK27" s="25"/>
      <c r="LL27" s="25"/>
      <c r="LM27" s="25"/>
      <c r="LN27" s="25"/>
      <c r="LO27" s="25"/>
      <c r="LP27" s="25"/>
      <c r="LQ27" s="25"/>
      <c r="LR27" s="25"/>
      <c r="LS27" s="25"/>
      <c r="LT27" s="25"/>
      <c r="LU27" s="25"/>
      <c r="LV27" s="25"/>
      <c r="LW27" s="25"/>
      <c r="LX27" s="25"/>
      <c r="LY27" s="25"/>
      <c r="LZ27" s="25"/>
      <c r="MA27" s="25"/>
      <c r="MB27" s="25"/>
      <c r="MC27" s="25"/>
      <c r="MD27" s="25"/>
      <c r="ME27" s="25"/>
      <c r="MF27" s="25"/>
      <c r="MG27" s="25"/>
      <c r="MH27" s="25"/>
      <c r="MI27" s="25"/>
      <c r="MJ27" s="25"/>
      <c r="MK27" s="25"/>
      <c r="ML27" s="25"/>
      <c r="MM27" s="25"/>
      <c r="MN27" s="25"/>
      <c r="MO27" s="25"/>
      <c r="MP27" s="25"/>
      <c r="MQ27" s="25"/>
      <c r="MR27" s="25"/>
      <c r="MS27" s="25"/>
      <c r="MT27" s="25"/>
      <c r="MU27" s="25"/>
      <c r="MV27" s="25"/>
      <c r="MW27" s="25"/>
      <c r="MX27" s="25"/>
      <c r="MY27" s="25"/>
      <c r="MZ27" s="25"/>
      <c r="NA27" s="25"/>
      <c r="NB27" s="25"/>
      <c r="NC27" s="25"/>
      <c r="ND27" s="25"/>
      <c r="NE27" s="33"/>
      <c r="OG27" s="18">
        <v>1</v>
      </c>
      <c r="OH27" s="18">
        <v>43196</v>
      </c>
      <c r="OI27" s="18">
        <v>43248</v>
      </c>
      <c r="PJ27" s="20" t="s">
        <v>11</v>
      </c>
      <c r="PK27" s="20">
        <v>106</v>
      </c>
    </row>
    <row r="28" spans="1:427" ht="0.75" customHeight="1" x14ac:dyDescent="0.2">
      <c r="A28" s="28"/>
      <c r="B28" s="22"/>
      <c r="C28" s="22"/>
      <c r="D28" s="44"/>
      <c r="E28" s="23"/>
      <c r="F28" s="24" t="s">
        <v>10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  <c r="MJ28" s="25"/>
      <c r="MK28" s="25"/>
      <c r="ML28" s="25"/>
      <c r="MM28" s="25"/>
      <c r="MN28" s="25"/>
      <c r="MO28" s="25"/>
      <c r="MP28" s="25"/>
      <c r="MQ28" s="25"/>
      <c r="MR28" s="25"/>
      <c r="MS28" s="25"/>
      <c r="MT28" s="25"/>
      <c r="MU28" s="25"/>
      <c r="MV28" s="25"/>
      <c r="MW28" s="25"/>
      <c r="MX28" s="25"/>
      <c r="MY28" s="25"/>
      <c r="MZ28" s="25"/>
      <c r="NA28" s="25"/>
      <c r="NB28" s="25"/>
      <c r="NC28" s="25"/>
      <c r="ND28" s="25"/>
      <c r="NE28" s="33"/>
    </row>
    <row r="29" spans="1:427" ht="13.5" customHeight="1" x14ac:dyDescent="0.2">
      <c r="A29" s="28" t="s">
        <v>74</v>
      </c>
      <c r="B29" s="41" t="s">
        <v>35</v>
      </c>
      <c r="C29" s="26"/>
      <c r="D29" s="44">
        <v>2</v>
      </c>
      <c r="E29" s="23" t="s">
        <v>36</v>
      </c>
      <c r="F29" s="24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49" t="s">
        <v>80</v>
      </c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  <c r="MN29" s="25"/>
      <c r="MO29" s="25"/>
      <c r="MP29" s="25"/>
      <c r="MQ29" s="25"/>
      <c r="MR29" s="25"/>
      <c r="MS29" s="25"/>
      <c r="MT29" s="25"/>
      <c r="MU29" s="25"/>
      <c r="MV29" s="25"/>
      <c r="MW29" s="25"/>
      <c r="MX29" s="25"/>
      <c r="MY29" s="25"/>
      <c r="MZ29" s="25"/>
      <c r="NA29" s="25"/>
      <c r="NB29" s="25"/>
      <c r="NC29" s="25"/>
      <c r="ND29" s="25"/>
      <c r="NE29" s="33"/>
      <c r="OG29" s="18">
        <v>1</v>
      </c>
      <c r="OH29" s="18">
        <v>43336</v>
      </c>
      <c r="OI29" s="18">
        <v>43388</v>
      </c>
      <c r="PJ29" s="20" t="s">
        <v>11</v>
      </c>
      <c r="PK29" s="20">
        <v>106</v>
      </c>
    </row>
    <row r="30" spans="1:427" ht="0.75" customHeight="1" x14ac:dyDescent="0.2">
      <c r="A30" s="28" t="s">
        <v>74</v>
      </c>
      <c r="B30" s="22"/>
      <c r="C30" s="22"/>
      <c r="D30" s="44"/>
      <c r="E30" s="23"/>
      <c r="F30" s="24" t="s">
        <v>10</v>
      </c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  <c r="MN30" s="25"/>
      <c r="MO30" s="25"/>
      <c r="MP30" s="25"/>
      <c r="MQ30" s="25"/>
      <c r="MR30" s="25"/>
      <c r="MS30" s="25"/>
      <c r="MT30" s="25"/>
      <c r="MU30" s="25"/>
      <c r="MV30" s="25"/>
      <c r="MW30" s="25"/>
      <c r="MX30" s="25"/>
      <c r="MY30" s="25"/>
      <c r="MZ30" s="25"/>
      <c r="NA30" s="25"/>
      <c r="NB30" s="25"/>
      <c r="NC30" s="25"/>
      <c r="ND30" s="25"/>
      <c r="NE30" s="33"/>
    </row>
    <row r="31" spans="1:427" ht="13.5" customHeight="1" x14ac:dyDescent="0.2">
      <c r="A31" s="28" t="s">
        <v>74</v>
      </c>
      <c r="B31" s="41" t="s">
        <v>37</v>
      </c>
      <c r="C31" s="26"/>
      <c r="D31" s="44">
        <v>2</v>
      </c>
      <c r="E31" s="23" t="s">
        <v>38</v>
      </c>
      <c r="F31" s="24"/>
      <c r="G31" s="25"/>
      <c r="H31" s="25"/>
      <c r="I31" s="25"/>
      <c r="J31" s="25"/>
      <c r="K31" s="25"/>
      <c r="L31" s="25"/>
      <c r="M31" s="25"/>
      <c r="N31" s="25"/>
      <c r="O31" s="25"/>
      <c r="P31" s="49" t="s">
        <v>107</v>
      </c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  <c r="MN31" s="25"/>
      <c r="MO31" s="25"/>
      <c r="MP31" s="25"/>
      <c r="MQ31" s="25"/>
      <c r="MR31" s="25"/>
      <c r="MS31" s="25"/>
      <c r="MT31" s="25"/>
      <c r="MU31" s="25"/>
      <c r="MV31" s="25"/>
      <c r="MW31" s="25"/>
      <c r="MX31" s="25"/>
      <c r="MY31" s="25"/>
      <c r="MZ31" s="25"/>
      <c r="NA31" s="25"/>
      <c r="NB31" s="25"/>
      <c r="NC31" s="25"/>
      <c r="ND31" s="25"/>
      <c r="NE31" s="33"/>
      <c r="OG31" s="18">
        <v>1</v>
      </c>
      <c r="OH31" s="18">
        <v>43196</v>
      </c>
      <c r="OI31" s="18">
        <v>43248</v>
      </c>
      <c r="PJ31" s="20" t="s">
        <v>11</v>
      </c>
      <c r="PK31" s="20">
        <v>106</v>
      </c>
    </row>
    <row r="32" spans="1:427" ht="0.75" customHeight="1" x14ac:dyDescent="0.2">
      <c r="A32" s="28"/>
      <c r="B32" s="22"/>
      <c r="C32" s="22"/>
      <c r="D32" s="44"/>
      <c r="E32" s="23"/>
      <c r="F32" s="24" t="s">
        <v>10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  <c r="MN32" s="25"/>
      <c r="MO32" s="25"/>
      <c r="MP32" s="25"/>
      <c r="MQ32" s="25"/>
      <c r="MR32" s="25"/>
      <c r="MS32" s="25"/>
      <c r="MT32" s="25"/>
      <c r="MU32" s="25"/>
      <c r="MV32" s="25"/>
      <c r="MW32" s="25"/>
      <c r="MX32" s="25"/>
      <c r="MY32" s="25"/>
      <c r="MZ32" s="25"/>
      <c r="NA32" s="25"/>
      <c r="NB32" s="25"/>
      <c r="NC32" s="25"/>
      <c r="ND32" s="25"/>
      <c r="NE32" s="33"/>
    </row>
    <row r="33" spans="1:427" ht="13.5" customHeight="1" x14ac:dyDescent="0.2">
      <c r="A33" s="28" t="s">
        <v>74</v>
      </c>
      <c r="B33" s="22" t="s">
        <v>39</v>
      </c>
      <c r="C33" s="26"/>
      <c r="D33" s="44">
        <v>2</v>
      </c>
      <c r="E33" s="23" t="s">
        <v>40</v>
      </c>
      <c r="F33" s="24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  <c r="MN33" s="25"/>
      <c r="MO33" s="25"/>
      <c r="MP33" s="25"/>
      <c r="MQ33" s="25"/>
      <c r="MR33" s="25"/>
      <c r="MS33" s="25"/>
      <c r="MT33" s="25"/>
      <c r="MU33" s="25"/>
      <c r="MV33" s="25"/>
      <c r="MW33" s="25"/>
      <c r="MX33" s="25"/>
      <c r="MY33" s="25"/>
      <c r="MZ33" s="25"/>
      <c r="NA33" s="25"/>
      <c r="NB33" s="25"/>
      <c r="NC33" s="25"/>
      <c r="ND33" s="25"/>
      <c r="NE33" s="33"/>
      <c r="OG33" s="18">
        <v>1</v>
      </c>
      <c r="OH33" s="18">
        <v>43336</v>
      </c>
      <c r="OI33" s="18">
        <v>43388</v>
      </c>
      <c r="PJ33" s="20" t="s">
        <v>11</v>
      </c>
      <c r="PK33" s="20">
        <v>106</v>
      </c>
    </row>
    <row r="34" spans="1:427" ht="0.75" customHeight="1" x14ac:dyDescent="0.2">
      <c r="A34" s="28" t="s">
        <v>74</v>
      </c>
      <c r="B34" s="22"/>
      <c r="C34" s="22"/>
      <c r="D34" s="44"/>
      <c r="E34" s="23"/>
      <c r="F34" s="24" t="s">
        <v>10</v>
      </c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  <c r="MN34" s="25"/>
      <c r="MO34" s="25"/>
      <c r="MP34" s="25"/>
      <c r="MQ34" s="25"/>
      <c r="MR34" s="25"/>
      <c r="MS34" s="25"/>
      <c r="MT34" s="25"/>
      <c r="MU34" s="25"/>
      <c r="MV34" s="25"/>
      <c r="MW34" s="25"/>
      <c r="MX34" s="25"/>
      <c r="MY34" s="25"/>
      <c r="MZ34" s="25"/>
      <c r="NA34" s="25"/>
      <c r="NB34" s="25"/>
      <c r="NC34" s="25"/>
      <c r="ND34" s="25"/>
      <c r="NE34" s="33"/>
    </row>
    <row r="35" spans="1:427" ht="13.5" customHeight="1" x14ac:dyDescent="0.2">
      <c r="A35" s="28" t="s">
        <v>74</v>
      </c>
      <c r="B35" s="41" t="s">
        <v>41</v>
      </c>
      <c r="C35" s="26"/>
      <c r="D35" s="44">
        <v>1.25</v>
      </c>
      <c r="E35" s="23" t="s">
        <v>42</v>
      </c>
      <c r="F35" s="24"/>
      <c r="G35" s="25"/>
      <c r="H35" s="25"/>
      <c r="I35" s="25"/>
      <c r="J35" s="25"/>
      <c r="K35" s="25"/>
      <c r="L35" s="25"/>
      <c r="M35" s="25"/>
      <c r="N35" s="49" t="s">
        <v>108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  <c r="MN35" s="25"/>
      <c r="MO35" s="25"/>
      <c r="MP35" s="25"/>
      <c r="MQ35" s="25"/>
      <c r="MR35" s="25"/>
      <c r="MS35" s="25"/>
      <c r="MT35" s="25"/>
      <c r="MU35" s="25"/>
      <c r="MV35" s="25"/>
      <c r="MW35" s="25"/>
      <c r="MX35" s="25"/>
      <c r="MY35" s="25"/>
      <c r="MZ35" s="25"/>
      <c r="NA35" s="25"/>
      <c r="NB35" s="25"/>
      <c r="NC35" s="25"/>
      <c r="ND35" s="25"/>
      <c r="NE35" s="33"/>
      <c r="OG35" s="18">
        <v>1</v>
      </c>
      <c r="OH35" s="18">
        <v>43196</v>
      </c>
      <c r="OI35" s="18">
        <v>43248</v>
      </c>
      <c r="PJ35" s="20" t="s">
        <v>11</v>
      </c>
      <c r="PK35" s="20">
        <v>106</v>
      </c>
    </row>
    <row r="36" spans="1:427" ht="0.75" customHeight="1" x14ac:dyDescent="0.2">
      <c r="A36" s="28"/>
      <c r="B36" s="22"/>
      <c r="C36" s="22"/>
      <c r="D36" s="44"/>
      <c r="E36" s="23"/>
      <c r="F36" s="24" t="s">
        <v>10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  <c r="MN36" s="25"/>
      <c r="MO36" s="25"/>
      <c r="MP36" s="25"/>
      <c r="MQ36" s="25"/>
      <c r="MR36" s="25"/>
      <c r="MS36" s="25"/>
      <c r="MT36" s="25"/>
      <c r="MU36" s="25"/>
      <c r="MV36" s="25"/>
      <c r="MW36" s="25"/>
      <c r="MX36" s="25"/>
      <c r="MY36" s="25"/>
      <c r="MZ36" s="25"/>
      <c r="NA36" s="25"/>
      <c r="NB36" s="25"/>
      <c r="NC36" s="25"/>
      <c r="ND36" s="25"/>
      <c r="NE36" s="33"/>
    </row>
    <row r="37" spans="1:427" ht="13.5" customHeight="1" x14ac:dyDescent="0.2">
      <c r="A37" s="28" t="s">
        <v>74</v>
      </c>
      <c r="B37" s="41" t="s">
        <v>43</v>
      </c>
      <c r="C37" s="26"/>
      <c r="D37" s="44">
        <v>2</v>
      </c>
      <c r="E37" s="23" t="s">
        <v>44</v>
      </c>
      <c r="F37" s="24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  <c r="MN37" s="25"/>
      <c r="MO37" s="25"/>
      <c r="MP37" s="25"/>
      <c r="MQ37" s="25"/>
      <c r="MR37" s="25"/>
      <c r="MS37" s="25"/>
      <c r="MT37" s="25"/>
      <c r="MU37" s="25"/>
      <c r="MV37" s="25"/>
      <c r="MW37" s="25"/>
      <c r="MX37" s="25"/>
      <c r="MY37" s="25"/>
      <c r="MZ37" s="25"/>
      <c r="NA37" s="25"/>
      <c r="NB37" s="25"/>
      <c r="NC37" s="25"/>
      <c r="ND37" s="25"/>
      <c r="NE37" s="33"/>
      <c r="OG37" s="18">
        <v>1</v>
      </c>
      <c r="OH37" s="18">
        <v>43336</v>
      </c>
      <c r="OI37" s="18">
        <v>43388</v>
      </c>
      <c r="PJ37" s="20" t="s">
        <v>11</v>
      </c>
      <c r="PK37" s="20">
        <v>106</v>
      </c>
    </row>
    <row r="38" spans="1:427" ht="0.75" customHeight="1" x14ac:dyDescent="0.2">
      <c r="A38" s="28" t="s">
        <v>74</v>
      </c>
      <c r="B38" s="22"/>
      <c r="C38" s="22"/>
      <c r="D38" s="44"/>
      <c r="E38" s="23"/>
      <c r="F38" s="24" t="s">
        <v>10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  <c r="MN38" s="25"/>
      <c r="MO38" s="25"/>
      <c r="MP38" s="25"/>
      <c r="MQ38" s="25"/>
      <c r="MR38" s="25"/>
      <c r="MS38" s="25"/>
      <c r="MT38" s="25"/>
      <c r="MU38" s="25"/>
      <c r="MV38" s="25"/>
      <c r="MW38" s="25"/>
      <c r="MX38" s="25"/>
      <c r="MY38" s="25"/>
      <c r="MZ38" s="25"/>
      <c r="NA38" s="25"/>
      <c r="NB38" s="25"/>
      <c r="NC38" s="25"/>
      <c r="ND38" s="25"/>
      <c r="NE38" s="33"/>
    </row>
    <row r="39" spans="1:427" ht="13.5" customHeight="1" x14ac:dyDescent="0.2">
      <c r="A39" s="28" t="s">
        <v>74</v>
      </c>
      <c r="B39" s="41" t="s">
        <v>45</v>
      </c>
      <c r="C39" s="26"/>
      <c r="D39" s="44">
        <v>2</v>
      </c>
      <c r="E39" s="23" t="s">
        <v>46</v>
      </c>
      <c r="F39" s="24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  <c r="MN39" s="25"/>
      <c r="MO39" s="25"/>
      <c r="MP39" s="25"/>
      <c r="MQ39" s="25"/>
      <c r="MR39" s="25"/>
      <c r="MS39" s="25"/>
      <c r="MT39" s="25"/>
      <c r="MU39" s="25"/>
      <c r="MV39" s="25"/>
      <c r="MW39" s="25"/>
      <c r="MX39" s="25"/>
      <c r="MY39" s="25"/>
      <c r="MZ39" s="25"/>
      <c r="NA39" s="25"/>
      <c r="NB39" s="25"/>
      <c r="NC39" s="25"/>
      <c r="ND39" s="25"/>
      <c r="NE39" s="33"/>
      <c r="OG39" s="18">
        <v>1</v>
      </c>
      <c r="OH39" s="18">
        <v>43196</v>
      </c>
      <c r="OI39" s="18">
        <v>43248</v>
      </c>
      <c r="PJ39" s="20" t="s">
        <v>11</v>
      </c>
      <c r="PK39" s="20">
        <v>106</v>
      </c>
    </row>
    <row r="40" spans="1:427" ht="0.75" customHeight="1" x14ac:dyDescent="0.2">
      <c r="A40" s="28"/>
      <c r="B40" s="22"/>
      <c r="C40" s="22"/>
      <c r="D40" s="44"/>
      <c r="E40" s="23"/>
      <c r="F40" s="24" t="s">
        <v>10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  <c r="MN40" s="25"/>
      <c r="MO40" s="25"/>
      <c r="MP40" s="25"/>
      <c r="MQ40" s="25"/>
      <c r="MR40" s="25"/>
      <c r="MS40" s="25"/>
      <c r="MT40" s="25"/>
      <c r="MU40" s="25"/>
      <c r="MV40" s="25"/>
      <c r="MW40" s="25"/>
      <c r="MX40" s="25"/>
      <c r="MY40" s="25"/>
      <c r="MZ40" s="25"/>
      <c r="NA40" s="25"/>
      <c r="NB40" s="25"/>
      <c r="NC40" s="25"/>
      <c r="ND40" s="25"/>
      <c r="NE40" s="33"/>
    </row>
    <row r="41" spans="1:427" ht="13.5" customHeight="1" x14ac:dyDescent="0.2">
      <c r="A41" s="28" t="s">
        <v>74</v>
      </c>
      <c r="B41" s="41" t="s">
        <v>48</v>
      </c>
      <c r="C41" s="26"/>
      <c r="D41" s="44">
        <v>2</v>
      </c>
      <c r="E41" s="23" t="s">
        <v>49</v>
      </c>
      <c r="F41" s="24"/>
      <c r="G41" s="25"/>
      <c r="H41" s="25"/>
      <c r="I41" s="25"/>
      <c r="J41" s="25"/>
      <c r="K41" s="49" t="s">
        <v>80</v>
      </c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  <c r="MN41" s="25"/>
      <c r="MO41" s="25"/>
      <c r="MP41" s="25"/>
      <c r="MQ41" s="25"/>
      <c r="MR41" s="25"/>
      <c r="MS41" s="25"/>
      <c r="MT41" s="25"/>
      <c r="MU41" s="25"/>
      <c r="MV41" s="25"/>
      <c r="MW41" s="25"/>
      <c r="MX41" s="25"/>
      <c r="MY41" s="25"/>
      <c r="MZ41" s="25"/>
      <c r="NA41" s="25"/>
      <c r="NB41" s="25"/>
      <c r="NC41" s="25"/>
      <c r="ND41" s="25"/>
      <c r="NE41" s="33"/>
      <c r="OG41" s="18">
        <v>1</v>
      </c>
      <c r="OH41" s="18">
        <v>43336</v>
      </c>
      <c r="OI41" s="18">
        <v>43388</v>
      </c>
      <c r="PJ41" s="20" t="s">
        <v>11</v>
      </c>
      <c r="PK41" s="20">
        <v>106</v>
      </c>
    </row>
    <row r="42" spans="1:427" ht="0.75" customHeight="1" x14ac:dyDescent="0.2">
      <c r="A42" s="28" t="s">
        <v>74</v>
      </c>
      <c r="B42" s="22"/>
      <c r="C42" s="22"/>
      <c r="D42" s="44"/>
      <c r="E42" s="23"/>
      <c r="F42" s="24" t="s">
        <v>10</v>
      </c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  <c r="MN42" s="25"/>
      <c r="MO42" s="25"/>
      <c r="MP42" s="25"/>
      <c r="MQ42" s="25"/>
      <c r="MR42" s="25"/>
      <c r="MS42" s="25"/>
      <c r="MT42" s="25"/>
      <c r="MU42" s="25"/>
      <c r="MV42" s="25"/>
      <c r="MW42" s="25"/>
      <c r="MX42" s="25"/>
      <c r="MY42" s="25"/>
      <c r="MZ42" s="25"/>
      <c r="NA42" s="25"/>
      <c r="NB42" s="25"/>
      <c r="NC42" s="25"/>
      <c r="ND42" s="25"/>
      <c r="NE42" s="33"/>
    </row>
    <row r="43" spans="1:427" ht="13.5" customHeight="1" x14ac:dyDescent="0.2">
      <c r="A43" s="28" t="s">
        <v>74</v>
      </c>
      <c r="B43" s="41" t="s">
        <v>94</v>
      </c>
      <c r="C43" s="26"/>
      <c r="D43" s="44">
        <v>8</v>
      </c>
      <c r="E43" s="23" t="s">
        <v>49</v>
      </c>
      <c r="F43" s="24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50" t="s">
        <v>79</v>
      </c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  <c r="MH43" s="25"/>
      <c r="MI43" s="25"/>
      <c r="MJ43" s="25"/>
      <c r="MK43" s="25"/>
      <c r="ML43" s="25"/>
      <c r="MM43" s="25"/>
      <c r="MN43" s="25"/>
      <c r="MO43" s="25"/>
      <c r="MP43" s="25"/>
      <c r="MQ43" s="25"/>
      <c r="MR43" s="25"/>
      <c r="MS43" s="25"/>
      <c r="MT43" s="25"/>
      <c r="MU43" s="25"/>
      <c r="MV43" s="25"/>
      <c r="MW43" s="25"/>
      <c r="MX43" s="25"/>
      <c r="MY43" s="25"/>
      <c r="MZ43" s="25"/>
      <c r="NA43" s="25"/>
      <c r="NB43" s="25"/>
      <c r="NC43" s="25"/>
      <c r="ND43" s="25"/>
      <c r="NE43" s="33"/>
      <c r="OG43" s="18">
        <v>1</v>
      </c>
      <c r="OH43" s="18">
        <v>43196</v>
      </c>
      <c r="OI43" s="18">
        <v>43248</v>
      </c>
      <c r="PJ43" s="20" t="s">
        <v>11</v>
      </c>
      <c r="PK43" s="20">
        <v>106</v>
      </c>
    </row>
    <row r="44" spans="1:427" ht="0.75" customHeight="1" x14ac:dyDescent="0.2">
      <c r="A44" s="28"/>
      <c r="B44" s="22"/>
      <c r="C44" s="22"/>
      <c r="D44" s="44"/>
      <c r="E44" s="23"/>
      <c r="F44" s="24" t="s">
        <v>10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  <c r="MH44" s="25"/>
      <c r="MI44" s="25"/>
      <c r="MJ44" s="25"/>
      <c r="MK44" s="25"/>
      <c r="ML44" s="25"/>
      <c r="MM44" s="25"/>
      <c r="MN44" s="25"/>
      <c r="MO44" s="25"/>
      <c r="MP44" s="25"/>
      <c r="MQ44" s="25"/>
      <c r="MR44" s="25"/>
      <c r="MS44" s="25"/>
      <c r="MT44" s="25"/>
      <c r="MU44" s="25"/>
      <c r="MV44" s="25"/>
      <c r="MW44" s="25"/>
      <c r="MX44" s="25"/>
      <c r="MY44" s="25"/>
      <c r="MZ44" s="25"/>
      <c r="NA44" s="25"/>
      <c r="NB44" s="25"/>
      <c r="NC44" s="25"/>
      <c r="ND44" s="25"/>
      <c r="NE44" s="33"/>
    </row>
    <row r="45" spans="1:427" ht="13.5" customHeight="1" x14ac:dyDescent="0.2">
      <c r="A45" s="28" t="s">
        <v>74</v>
      </c>
      <c r="B45" s="41" t="s">
        <v>50</v>
      </c>
      <c r="C45" s="26"/>
      <c r="D45" s="45">
        <v>2</v>
      </c>
      <c r="E45" s="23" t="s">
        <v>51</v>
      </c>
      <c r="F45" s="24"/>
      <c r="G45" s="25"/>
      <c r="H45" s="25"/>
      <c r="I45" s="25"/>
      <c r="J45" s="49" t="s">
        <v>82</v>
      </c>
      <c r="K45" s="25"/>
      <c r="L45" s="25"/>
      <c r="M45" s="25"/>
      <c r="N45" s="25"/>
      <c r="O45" s="25"/>
      <c r="P45" s="25"/>
      <c r="Q45" s="49" t="s">
        <v>81</v>
      </c>
      <c r="R45" s="25"/>
      <c r="S45" s="25"/>
      <c r="T45" s="25"/>
      <c r="U45" s="25"/>
      <c r="V45" s="25"/>
      <c r="W45" s="25"/>
      <c r="X45" s="50" t="s">
        <v>82</v>
      </c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  <c r="MH45" s="25"/>
      <c r="MI45" s="25"/>
      <c r="MJ45" s="25"/>
      <c r="MK45" s="25"/>
      <c r="ML45" s="25"/>
      <c r="MM45" s="25"/>
      <c r="MN45" s="25"/>
      <c r="MO45" s="25"/>
      <c r="MP45" s="25"/>
      <c r="MQ45" s="25"/>
      <c r="MR45" s="25"/>
      <c r="MS45" s="25"/>
      <c r="MT45" s="25"/>
      <c r="MU45" s="25"/>
      <c r="MV45" s="25"/>
      <c r="MW45" s="25"/>
      <c r="MX45" s="25"/>
      <c r="MY45" s="25"/>
      <c r="MZ45" s="25"/>
      <c r="NA45" s="25"/>
      <c r="NB45" s="25"/>
      <c r="NC45" s="25"/>
      <c r="ND45" s="25"/>
      <c r="NE45" s="33"/>
      <c r="OG45" s="18">
        <v>1</v>
      </c>
      <c r="OH45" s="18">
        <v>43336</v>
      </c>
      <c r="OI45" s="18">
        <v>43388</v>
      </c>
      <c r="PJ45" s="20" t="s">
        <v>11</v>
      </c>
      <c r="PK45" s="20">
        <v>106</v>
      </c>
    </row>
    <row r="46" spans="1:427" ht="0.75" customHeight="1" x14ac:dyDescent="0.2">
      <c r="A46" s="28" t="s">
        <v>74</v>
      </c>
      <c r="B46" s="22"/>
      <c r="C46" s="22"/>
      <c r="D46" s="44"/>
      <c r="E46" s="23"/>
      <c r="F46" s="24" t="s">
        <v>10</v>
      </c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  <c r="MH46" s="25"/>
      <c r="MI46" s="25"/>
      <c r="MJ46" s="25"/>
      <c r="MK46" s="25"/>
      <c r="ML46" s="25"/>
      <c r="MM46" s="25"/>
      <c r="MN46" s="25"/>
      <c r="MO46" s="25"/>
      <c r="MP46" s="25"/>
      <c r="MQ46" s="25"/>
      <c r="MR46" s="25"/>
      <c r="MS46" s="25"/>
      <c r="MT46" s="25"/>
      <c r="MU46" s="25"/>
      <c r="MV46" s="25"/>
      <c r="MW46" s="25"/>
      <c r="MX46" s="25"/>
      <c r="MY46" s="25"/>
      <c r="MZ46" s="25"/>
      <c r="NA46" s="25"/>
      <c r="NB46" s="25"/>
      <c r="NC46" s="25"/>
      <c r="ND46" s="25"/>
      <c r="NE46" s="33"/>
    </row>
    <row r="47" spans="1:427" ht="13.5" customHeight="1" x14ac:dyDescent="0.2">
      <c r="A47" s="28" t="s">
        <v>74</v>
      </c>
      <c r="B47" s="41" t="s">
        <v>52</v>
      </c>
      <c r="C47" s="26"/>
      <c r="D47" s="45">
        <v>2</v>
      </c>
      <c r="E47" s="23" t="s">
        <v>49</v>
      </c>
      <c r="F47" s="24"/>
      <c r="G47" s="25"/>
      <c r="H47" s="25"/>
      <c r="I47" s="25"/>
      <c r="J47" s="49" t="s">
        <v>91</v>
      </c>
      <c r="K47" s="25"/>
      <c r="L47" s="25"/>
      <c r="M47" s="25"/>
      <c r="N47" s="49" t="s">
        <v>79</v>
      </c>
      <c r="O47" s="25"/>
      <c r="P47" s="25"/>
      <c r="Q47" s="49" t="s">
        <v>91</v>
      </c>
      <c r="R47" s="25"/>
      <c r="S47" s="25"/>
      <c r="T47" s="25"/>
      <c r="U47" s="25"/>
      <c r="V47" s="25"/>
      <c r="W47" s="25"/>
      <c r="X47" s="50" t="s">
        <v>91</v>
      </c>
      <c r="Y47" s="25"/>
      <c r="Z47" s="25"/>
      <c r="AA47" s="25"/>
      <c r="AB47" s="50" t="s">
        <v>79</v>
      </c>
      <c r="AC47" s="25"/>
      <c r="AD47" s="25"/>
      <c r="AE47" s="50" t="s">
        <v>91</v>
      </c>
      <c r="AF47" s="25"/>
      <c r="AG47" s="25"/>
      <c r="AH47" s="25"/>
      <c r="AI47" s="50" t="s">
        <v>79</v>
      </c>
      <c r="AJ47" s="25"/>
      <c r="AK47" s="25"/>
      <c r="AL47" s="50" t="s">
        <v>91</v>
      </c>
      <c r="AM47" s="25"/>
      <c r="AN47" s="25"/>
      <c r="AO47" s="25"/>
      <c r="AP47" s="50" t="s">
        <v>79</v>
      </c>
      <c r="AQ47" s="25"/>
      <c r="AR47" s="25"/>
      <c r="AS47" s="50" t="s">
        <v>91</v>
      </c>
      <c r="AT47" s="25"/>
      <c r="AU47" s="25"/>
      <c r="AV47" s="25"/>
      <c r="AW47" s="50" t="s">
        <v>79</v>
      </c>
      <c r="AX47" s="25"/>
      <c r="AY47" s="25"/>
      <c r="AZ47" s="50" t="s">
        <v>91</v>
      </c>
      <c r="BA47" s="25"/>
      <c r="BB47" s="25"/>
      <c r="BC47" s="25"/>
      <c r="BD47" s="50" t="s">
        <v>79</v>
      </c>
      <c r="BE47" s="25"/>
      <c r="BF47" s="25"/>
      <c r="BG47" s="50" t="s">
        <v>91</v>
      </c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  <c r="MH47" s="25"/>
      <c r="MI47" s="25"/>
      <c r="MJ47" s="25"/>
      <c r="MK47" s="25"/>
      <c r="ML47" s="25"/>
      <c r="MM47" s="25"/>
      <c r="MN47" s="25"/>
      <c r="MO47" s="25"/>
      <c r="MP47" s="25"/>
      <c r="MQ47" s="25"/>
      <c r="MR47" s="25"/>
      <c r="MS47" s="25"/>
      <c r="MT47" s="25"/>
      <c r="MU47" s="25"/>
      <c r="MV47" s="25"/>
      <c r="MW47" s="25"/>
      <c r="MX47" s="25"/>
      <c r="MY47" s="25"/>
      <c r="MZ47" s="25"/>
      <c r="NA47" s="25"/>
      <c r="NB47" s="25"/>
      <c r="NC47" s="25"/>
      <c r="ND47" s="25"/>
      <c r="NE47" s="33"/>
      <c r="OG47" s="18">
        <v>1</v>
      </c>
      <c r="OH47" s="18">
        <v>43196</v>
      </c>
      <c r="OI47" s="18">
        <v>43248</v>
      </c>
      <c r="PJ47" s="20" t="s">
        <v>11</v>
      </c>
      <c r="PK47" s="20">
        <v>106</v>
      </c>
    </row>
    <row r="48" spans="1:427" ht="0.75" customHeight="1" x14ac:dyDescent="0.2">
      <c r="A48" s="28"/>
      <c r="B48" s="22"/>
      <c r="C48" s="22"/>
      <c r="D48" s="45"/>
      <c r="E48" s="23"/>
      <c r="F48" s="24" t="s">
        <v>10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  <c r="MH48" s="25"/>
      <c r="MI48" s="25"/>
      <c r="MJ48" s="25"/>
      <c r="MK48" s="25"/>
      <c r="ML48" s="25"/>
      <c r="MM48" s="25"/>
      <c r="MN48" s="25"/>
      <c r="MO48" s="25"/>
      <c r="MP48" s="25"/>
      <c r="MQ48" s="25"/>
      <c r="MR48" s="25"/>
      <c r="MS48" s="25"/>
      <c r="MT48" s="25"/>
      <c r="MU48" s="25"/>
      <c r="MV48" s="25"/>
      <c r="MW48" s="25"/>
      <c r="MX48" s="25"/>
      <c r="MY48" s="25"/>
      <c r="MZ48" s="25"/>
      <c r="NA48" s="25"/>
      <c r="NB48" s="25"/>
      <c r="NC48" s="25"/>
      <c r="ND48" s="25"/>
      <c r="NE48" s="33"/>
    </row>
    <row r="49" spans="1:427" ht="13.5" customHeight="1" x14ac:dyDescent="0.2">
      <c r="A49" s="28" t="s">
        <v>74</v>
      </c>
      <c r="B49" s="41" t="s">
        <v>53</v>
      </c>
      <c r="C49" s="26"/>
      <c r="D49" s="45">
        <v>2</v>
      </c>
      <c r="E49" s="23" t="s">
        <v>54</v>
      </c>
      <c r="F49" s="24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50" t="s">
        <v>107</v>
      </c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  <c r="MH49" s="25"/>
      <c r="MI49" s="25"/>
      <c r="MJ49" s="25"/>
      <c r="MK49" s="25"/>
      <c r="ML49" s="25"/>
      <c r="MM49" s="25"/>
      <c r="MN49" s="25"/>
      <c r="MO49" s="25"/>
      <c r="MP49" s="25"/>
      <c r="MQ49" s="25"/>
      <c r="MR49" s="25"/>
      <c r="MS49" s="25"/>
      <c r="MT49" s="25"/>
      <c r="MU49" s="25"/>
      <c r="MV49" s="25"/>
      <c r="MW49" s="25"/>
      <c r="MX49" s="25"/>
      <c r="MY49" s="25"/>
      <c r="MZ49" s="25"/>
      <c r="NA49" s="25"/>
      <c r="NB49" s="25"/>
      <c r="NC49" s="25"/>
      <c r="ND49" s="25"/>
      <c r="NE49" s="33"/>
      <c r="OG49" s="18">
        <v>1</v>
      </c>
      <c r="OH49" s="18">
        <v>43336</v>
      </c>
      <c r="OI49" s="18">
        <v>43388</v>
      </c>
      <c r="PJ49" s="20" t="s">
        <v>11</v>
      </c>
      <c r="PK49" s="20">
        <v>106</v>
      </c>
    </row>
    <row r="50" spans="1:427" ht="0.75" customHeight="1" x14ac:dyDescent="0.2">
      <c r="A50" s="28" t="s">
        <v>74</v>
      </c>
      <c r="B50" s="22"/>
      <c r="C50" s="22"/>
      <c r="D50" s="44"/>
      <c r="E50" s="23"/>
      <c r="F50" s="24" t="s">
        <v>10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  <c r="MH50" s="25"/>
      <c r="MI50" s="25"/>
      <c r="MJ50" s="25"/>
      <c r="MK50" s="25"/>
      <c r="ML50" s="25"/>
      <c r="MM50" s="25"/>
      <c r="MN50" s="25"/>
      <c r="MO50" s="25"/>
      <c r="MP50" s="25"/>
      <c r="MQ50" s="25"/>
      <c r="MR50" s="25"/>
      <c r="MS50" s="25"/>
      <c r="MT50" s="25"/>
      <c r="MU50" s="25"/>
      <c r="MV50" s="25"/>
      <c r="MW50" s="25"/>
      <c r="MX50" s="25"/>
      <c r="MY50" s="25"/>
      <c r="MZ50" s="25"/>
      <c r="NA50" s="25"/>
      <c r="NB50" s="25"/>
      <c r="NC50" s="25"/>
      <c r="ND50" s="25"/>
      <c r="NE50" s="33"/>
    </row>
    <row r="51" spans="1:427" ht="13.5" customHeight="1" x14ac:dyDescent="0.2">
      <c r="A51" s="28" t="s">
        <v>78</v>
      </c>
      <c r="B51" s="41" t="s">
        <v>55</v>
      </c>
      <c r="C51" s="26" t="s">
        <v>72</v>
      </c>
      <c r="D51" s="45">
        <v>1</v>
      </c>
      <c r="E51" s="23" t="s">
        <v>54</v>
      </c>
      <c r="F51" s="24"/>
      <c r="G51" s="25"/>
      <c r="H51" s="25"/>
      <c r="I51" s="25"/>
      <c r="J51" s="25"/>
      <c r="K51" s="25"/>
      <c r="L51" s="25"/>
      <c r="M51" s="25"/>
      <c r="N51" s="25"/>
      <c r="O51" s="25"/>
      <c r="P51" s="49" t="s">
        <v>80</v>
      </c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50" t="s">
        <v>88</v>
      </c>
      <c r="AE51" s="25"/>
      <c r="AF51" s="25"/>
      <c r="AG51" s="25"/>
      <c r="AH51" s="25"/>
      <c r="AI51" s="25"/>
      <c r="AJ51" s="25"/>
      <c r="AK51" s="50" t="s">
        <v>88</v>
      </c>
      <c r="AL51" s="25"/>
      <c r="AM51" s="25"/>
      <c r="AN51" s="25"/>
      <c r="AO51" s="25"/>
      <c r="AP51" s="25"/>
      <c r="AQ51" s="25"/>
      <c r="AR51" s="50" t="s">
        <v>88</v>
      </c>
      <c r="AS51" s="25"/>
      <c r="AT51" s="25"/>
      <c r="AU51" s="25"/>
      <c r="AV51" s="25"/>
      <c r="AW51" s="25"/>
      <c r="AX51" s="25"/>
      <c r="AY51" s="50" t="s">
        <v>88</v>
      </c>
      <c r="AZ51" s="25"/>
      <c r="BA51" s="25"/>
      <c r="BB51" s="25"/>
      <c r="BC51" s="25"/>
      <c r="BD51" s="25"/>
      <c r="BE51" s="25"/>
      <c r="BF51" s="50" t="s">
        <v>88</v>
      </c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  <c r="MH51" s="25"/>
      <c r="MI51" s="25"/>
      <c r="MJ51" s="25"/>
      <c r="MK51" s="25"/>
      <c r="ML51" s="25"/>
      <c r="MM51" s="25"/>
      <c r="MN51" s="25"/>
      <c r="MO51" s="25"/>
      <c r="MP51" s="25"/>
      <c r="MQ51" s="25"/>
      <c r="MR51" s="25"/>
      <c r="MS51" s="25"/>
      <c r="MT51" s="25"/>
      <c r="MU51" s="25"/>
      <c r="MV51" s="25"/>
      <c r="MW51" s="25"/>
      <c r="MX51" s="25"/>
      <c r="MY51" s="25"/>
      <c r="MZ51" s="25"/>
      <c r="NA51" s="25"/>
      <c r="NB51" s="25"/>
      <c r="NC51" s="25"/>
      <c r="ND51" s="25"/>
      <c r="NE51" s="33"/>
      <c r="OG51" s="18">
        <v>1</v>
      </c>
      <c r="OH51" s="18">
        <v>43196</v>
      </c>
      <c r="OI51" s="18">
        <v>43248</v>
      </c>
      <c r="PJ51" s="20" t="s">
        <v>11</v>
      </c>
      <c r="PK51" s="20">
        <v>106</v>
      </c>
    </row>
    <row r="52" spans="1:427" ht="0.75" customHeight="1" x14ac:dyDescent="0.2">
      <c r="A52" s="28"/>
      <c r="B52" s="22"/>
      <c r="C52" s="22"/>
      <c r="D52" s="44"/>
      <c r="E52" s="23"/>
      <c r="F52" s="24" t="s">
        <v>10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  <c r="LO52" s="25"/>
      <c r="LP52" s="25"/>
      <c r="LQ52" s="25"/>
      <c r="LR52" s="25"/>
      <c r="LS52" s="25"/>
      <c r="LT52" s="25"/>
      <c r="LU52" s="25"/>
      <c r="LV52" s="25"/>
      <c r="LW52" s="25"/>
      <c r="LX52" s="25"/>
      <c r="LY52" s="25"/>
      <c r="LZ52" s="25"/>
      <c r="MA52" s="25"/>
      <c r="MB52" s="25"/>
      <c r="MC52" s="25"/>
      <c r="MD52" s="25"/>
      <c r="ME52" s="25"/>
      <c r="MF52" s="25"/>
      <c r="MG52" s="25"/>
      <c r="MH52" s="25"/>
      <c r="MI52" s="25"/>
      <c r="MJ52" s="25"/>
      <c r="MK52" s="25"/>
      <c r="ML52" s="25"/>
      <c r="MM52" s="25"/>
      <c r="MN52" s="25"/>
      <c r="MO52" s="25"/>
      <c r="MP52" s="25"/>
      <c r="MQ52" s="25"/>
      <c r="MR52" s="25"/>
      <c r="MS52" s="25"/>
      <c r="MT52" s="25"/>
      <c r="MU52" s="25"/>
      <c r="MV52" s="25"/>
      <c r="MW52" s="25"/>
      <c r="MX52" s="25"/>
      <c r="MY52" s="25"/>
      <c r="MZ52" s="25"/>
      <c r="NA52" s="25"/>
      <c r="NB52" s="25"/>
      <c r="NC52" s="25"/>
      <c r="ND52" s="25"/>
      <c r="NE52" s="33"/>
    </row>
    <row r="53" spans="1:427" ht="13.5" customHeight="1" x14ac:dyDescent="0.2">
      <c r="A53" s="28" t="s">
        <v>75</v>
      </c>
      <c r="B53" s="41" t="s">
        <v>110</v>
      </c>
      <c r="C53" s="26"/>
      <c r="D53" s="44">
        <v>8</v>
      </c>
      <c r="E53" s="23" t="s">
        <v>56</v>
      </c>
      <c r="F53" s="24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51" t="s">
        <v>109</v>
      </c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  <c r="LN53" s="25"/>
      <c r="LO53" s="25"/>
      <c r="LP53" s="25"/>
      <c r="LQ53" s="25"/>
      <c r="LR53" s="25"/>
      <c r="LS53" s="25"/>
      <c r="LT53" s="25"/>
      <c r="LU53" s="25"/>
      <c r="LV53" s="25"/>
      <c r="LW53" s="25"/>
      <c r="LX53" s="25"/>
      <c r="LY53" s="25"/>
      <c r="LZ53" s="25"/>
      <c r="MA53" s="25"/>
      <c r="MB53" s="25"/>
      <c r="MC53" s="25"/>
      <c r="MD53" s="25"/>
      <c r="ME53" s="25"/>
      <c r="MF53" s="25"/>
      <c r="MG53" s="25"/>
      <c r="MH53" s="25"/>
      <c r="MI53" s="25"/>
      <c r="MJ53" s="25"/>
      <c r="MK53" s="25"/>
      <c r="ML53" s="25"/>
      <c r="MM53" s="25"/>
      <c r="MN53" s="25"/>
      <c r="MO53" s="25"/>
      <c r="MP53" s="25"/>
      <c r="MQ53" s="25"/>
      <c r="MR53" s="25"/>
      <c r="MS53" s="25"/>
      <c r="MT53" s="25"/>
      <c r="MU53" s="25"/>
      <c r="MV53" s="25"/>
      <c r="MW53" s="25"/>
      <c r="MX53" s="25"/>
      <c r="MY53" s="25"/>
      <c r="MZ53" s="25"/>
      <c r="NA53" s="25"/>
      <c r="NB53" s="25"/>
      <c r="NC53" s="25"/>
      <c r="ND53" s="25"/>
      <c r="NE53" s="33"/>
      <c r="OG53" s="18">
        <v>1</v>
      </c>
      <c r="OH53" s="18">
        <v>43336</v>
      </c>
      <c r="OI53" s="18">
        <v>43388</v>
      </c>
      <c r="PJ53" s="20" t="s">
        <v>11</v>
      </c>
      <c r="PK53" s="20">
        <v>106</v>
      </c>
    </row>
    <row r="54" spans="1:427" ht="0.75" customHeight="1" x14ac:dyDescent="0.2">
      <c r="A54" s="28" t="s">
        <v>74</v>
      </c>
      <c r="B54" s="22"/>
      <c r="C54" s="22"/>
      <c r="D54" s="44"/>
      <c r="E54" s="23"/>
      <c r="F54" s="24" t="s">
        <v>10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  <c r="LN54" s="25"/>
      <c r="LO54" s="25"/>
      <c r="LP54" s="25"/>
      <c r="LQ54" s="25"/>
      <c r="LR54" s="25"/>
      <c r="LS54" s="25"/>
      <c r="LT54" s="25"/>
      <c r="LU54" s="25"/>
      <c r="LV54" s="25"/>
      <c r="LW54" s="25"/>
      <c r="LX54" s="25"/>
      <c r="LY54" s="25"/>
      <c r="LZ54" s="25"/>
      <c r="MA54" s="25"/>
      <c r="MB54" s="25"/>
      <c r="MC54" s="25"/>
      <c r="MD54" s="25"/>
      <c r="ME54" s="25"/>
      <c r="MF54" s="25"/>
      <c r="MG54" s="25"/>
      <c r="MH54" s="25"/>
      <c r="MI54" s="25"/>
      <c r="MJ54" s="25"/>
      <c r="MK54" s="25"/>
      <c r="ML54" s="25"/>
      <c r="MM54" s="25"/>
      <c r="MN54" s="25"/>
      <c r="MO54" s="25"/>
      <c r="MP54" s="25"/>
      <c r="MQ54" s="25"/>
      <c r="MR54" s="25"/>
      <c r="MS54" s="25"/>
      <c r="MT54" s="25"/>
      <c r="MU54" s="25"/>
      <c r="MV54" s="25"/>
      <c r="MW54" s="25"/>
      <c r="MX54" s="25"/>
      <c r="MY54" s="25"/>
      <c r="MZ54" s="25"/>
      <c r="NA54" s="25"/>
      <c r="NB54" s="25"/>
      <c r="NC54" s="25"/>
      <c r="ND54" s="25"/>
      <c r="NE54" s="33"/>
    </row>
    <row r="55" spans="1:427" ht="13.5" customHeight="1" x14ac:dyDescent="0.2">
      <c r="A55" s="28" t="s">
        <v>75</v>
      </c>
      <c r="B55" s="41" t="s">
        <v>58</v>
      </c>
      <c r="C55" s="26"/>
      <c r="D55" s="44">
        <v>4</v>
      </c>
      <c r="E55" s="23" t="s">
        <v>57</v>
      </c>
      <c r="F55" s="24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50" t="s">
        <v>109</v>
      </c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  <c r="LN55" s="25"/>
      <c r="LO55" s="25"/>
      <c r="LP55" s="25"/>
      <c r="LQ55" s="25"/>
      <c r="LR55" s="25"/>
      <c r="LS55" s="25"/>
      <c r="LT55" s="25"/>
      <c r="LU55" s="25"/>
      <c r="LV55" s="25"/>
      <c r="LW55" s="25"/>
      <c r="LX55" s="25"/>
      <c r="LY55" s="25"/>
      <c r="LZ55" s="25"/>
      <c r="MA55" s="25"/>
      <c r="MB55" s="25"/>
      <c r="MC55" s="25"/>
      <c r="MD55" s="25"/>
      <c r="ME55" s="25"/>
      <c r="MF55" s="25"/>
      <c r="MG55" s="25"/>
      <c r="MH55" s="25"/>
      <c r="MI55" s="25"/>
      <c r="MJ55" s="25"/>
      <c r="MK55" s="25"/>
      <c r="ML55" s="25"/>
      <c r="MM55" s="25"/>
      <c r="MN55" s="25"/>
      <c r="MO55" s="25"/>
      <c r="MP55" s="25"/>
      <c r="MQ55" s="25"/>
      <c r="MR55" s="25"/>
      <c r="MS55" s="25"/>
      <c r="MT55" s="25"/>
      <c r="MU55" s="25"/>
      <c r="MV55" s="25"/>
      <c r="MW55" s="25"/>
      <c r="MX55" s="25"/>
      <c r="MY55" s="25"/>
      <c r="MZ55" s="25"/>
      <c r="NA55" s="25"/>
      <c r="NB55" s="25"/>
      <c r="NC55" s="25"/>
      <c r="ND55" s="25"/>
      <c r="NE55" s="33"/>
      <c r="OG55" s="18">
        <v>1</v>
      </c>
      <c r="OH55" s="18">
        <v>43196</v>
      </c>
      <c r="OI55" s="18">
        <v>43248</v>
      </c>
      <c r="PJ55" s="20" t="s">
        <v>11</v>
      </c>
      <c r="PK55" s="20">
        <v>106</v>
      </c>
    </row>
    <row r="56" spans="1:427" ht="0.75" customHeight="1" x14ac:dyDescent="0.2">
      <c r="A56" s="28"/>
      <c r="B56" s="22"/>
      <c r="C56" s="22"/>
      <c r="D56" s="44"/>
      <c r="E56" s="23"/>
      <c r="F56" s="24" t="s">
        <v>10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  <c r="LN56" s="25"/>
      <c r="LO56" s="25"/>
      <c r="LP56" s="25"/>
      <c r="LQ56" s="25"/>
      <c r="LR56" s="25"/>
      <c r="LS56" s="25"/>
      <c r="LT56" s="25"/>
      <c r="LU56" s="25"/>
      <c r="LV56" s="25"/>
      <c r="LW56" s="25"/>
      <c r="LX56" s="25"/>
      <c r="LY56" s="25"/>
      <c r="LZ56" s="25"/>
      <c r="MA56" s="25"/>
      <c r="MB56" s="25"/>
      <c r="MC56" s="25"/>
      <c r="MD56" s="25"/>
      <c r="ME56" s="25"/>
      <c r="MF56" s="25"/>
      <c r="MG56" s="25"/>
      <c r="MH56" s="25"/>
      <c r="MI56" s="25"/>
      <c r="MJ56" s="25"/>
      <c r="MK56" s="25"/>
      <c r="ML56" s="25"/>
      <c r="MM56" s="25"/>
      <c r="MN56" s="25"/>
      <c r="MO56" s="25"/>
      <c r="MP56" s="25"/>
      <c r="MQ56" s="25"/>
      <c r="MR56" s="25"/>
      <c r="MS56" s="25"/>
      <c r="MT56" s="25"/>
      <c r="MU56" s="25"/>
      <c r="MV56" s="25"/>
      <c r="MW56" s="25"/>
      <c r="MX56" s="25"/>
      <c r="MY56" s="25"/>
      <c r="MZ56" s="25"/>
      <c r="NA56" s="25"/>
      <c r="NB56" s="25"/>
      <c r="NC56" s="25"/>
      <c r="ND56" s="25"/>
      <c r="NE56" s="33"/>
    </row>
    <row r="57" spans="1:427" ht="13.5" customHeight="1" x14ac:dyDescent="0.2">
      <c r="A57" s="28" t="s">
        <v>75</v>
      </c>
      <c r="B57" s="22" t="s">
        <v>60</v>
      </c>
      <c r="C57" s="26"/>
      <c r="D57" s="44">
        <v>8</v>
      </c>
      <c r="E57" s="23" t="s">
        <v>59</v>
      </c>
      <c r="F57" s="24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  <c r="KJ57" s="25"/>
      <c r="KK57" s="25"/>
      <c r="KL57" s="25"/>
      <c r="KM57" s="25"/>
      <c r="KN57" s="25"/>
      <c r="KO57" s="25"/>
      <c r="KP57" s="25"/>
      <c r="KQ57" s="25"/>
      <c r="KR57" s="25"/>
      <c r="KS57" s="25"/>
      <c r="KT57" s="25"/>
      <c r="KU57" s="25"/>
      <c r="KV57" s="25"/>
      <c r="KW57" s="25"/>
      <c r="KX57" s="25"/>
      <c r="KY57" s="25"/>
      <c r="KZ57" s="25"/>
      <c r="LA57" s="25"/>
      <c r="LB57" s="25"/>
      <c r="LC57" s="25"/>
      <c r="LD57" s="25"/>
      <c r="LE57" s="25"/>
      <c r="LF57" s="25"/>
      <c r="LG57" s="25"/>
      <c r="LH57" s="25"/>
      <c r="LI57" s="25"/>
      <c r="LJ57" s="25"/>
      <c r="LK57" s="25"/>
      <c r="LL57" s="25"/>
      <c r="LM57" s="25"/>
      <c r="LN57" s="25"/>
      <c r="LO57" s="25"/>
      <c r="LP57" s="25"/>
      <c r="LQ57" s="25"/>
      <c r="LR57" s="25"/>
      <c r="LS57" s="25"/>
      <c r="LT57" s="25"/>
      <c r="LU57" s="25"/>
      <c r="LV57" s="25"/>
      <c r="LW57" s="25"/>
      <c r="LX57" s="25"/>
      <c r="LY57" s="25"/>
      <c r="LZ57" s="25"/>
      <c r="MA57" s="25"/>
      <c r="MB57" s="25"/>
      <c r="MC57" s="25"/>
      <c r="MD57" s="25"/>
      <c r="ME57" s="25"/>
      <c r="MF57" s="25"/>
      <c r="MG57" s="25"/>
      <c r="MH57" s="25"/>
      <c r="MI57" s="25"/>
      <c r="MJ57" s="25"/>
      <c r="MK57" s="25"/>
      <c r="ML57" s="25"/>
      <c r="MM57" s="25"/>
      <c r="MN57" s="25"/>
      <c r="MO57" s="25"/>
      <c r="MP57" s="25"/>
      <c r="MQ57" s="25"/>
      <c r="MR57" s="25"/>
      <c r="MS57" s="25"/>
      <c r="MT57" s="25"/>
      <c r="MU57" s="25"/>
      <c r="MV57" s="25"/>
      <c r="MW57" s="25"/>
      <c r="MX57" s="25"/>
      <c r="MY57" s="25"/>
      <c r="MZ57" s="25"/>
      <c r="NA57" s="25"/>
      <c r="NB57" s="25"/>
      <c r="NC57" s="25"/>
      <c r="ND57" s="25"/>
      <c r="NE57" s="33"/>
      <c r="OG57" s="18">
        <v>1</v>
      </c>
      <c r="OH57" s="18">
        <v>43336</v>
      </c>
      <c r="OI57" s="18">
        <v>43388</v>
      </c>
      <c r="PJ57" s="20" t="s">
        <v>11</v>
      </c>
      <c r="PK57" s="20">
        <v>106</v>
      </c>
    </row>
    <row r="58" spans="1:427" ht="0.75" customHeight="1" x14ac:dyDescent="0.2">
      <c r="A58" s="28" t="s">
        <v>74</v>
      </c>
      <c r="B58" s="22"/>
      <c r="C58" s="22"/>
      <c r="D58" s="44"/>
      <c r="E58" s="23"/>
      <c r="F58" s="24" t="s">
        <v>10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  <c r="KF58" s="25"/>
      <c r="KG58" s="25"/>
      <c r="KH58" s="25"/>
      <c r="KI58" s="25"/>
      <c r="KJ58" s="25"/>
      <c r="KK58" s="25"/>
      <c r="KL58" s="25"/>
      <c r="KM58" s="25"/>
      <c r="KN58" s="25"/>
      <c r="KO58" s="25"/>
      <c r="KP58" s="25"/>
      <c r="KQ58" s="25"/>
      <c r="KR58" s="25"/>
      <c r="KS58" s="25"/>
      <c r="KT58" s="25"/>
      <c r="KU58" s="25"/>
      <c r="KV58" s="25"/>
      <c r="KW58" s="25"/>
      <c r="KX58" s="25"/>
      <c r="KY58" s="25"/>
      <c r="KZ58" s="25"/>
      <c r="LA58" s="25"/>
      <c r="LB58" s="25"/>
      <c r="LC58" s="25"/>
      <c r="LD58" s="25"/>
      <c r="LE58" s="25"/>
      <c r="LF58" s="25"/>
      <c r="LG58" s="25"/>
      <c r="LH58" s="25"/>
      <c r="LI58" s="25"/>
      <c r="LJ58" s="25"/>
      <c r="LK58" s="25"/>
      <c r="LL58" s="25"/>
      <c r="LM58" s="25"/>
      <c r="LN58" s="25"/>
      <c r="LO58" s="25"/>
      <c r="LP58" s="25"/>
      <c r="LQ58" s="25"/>
      <c r="LR58" s="25"/>
      <c r="LS58" s="25"/>
      <c r="LT58" s="25"/>
      <c r="LU58" s="25"/>
      <c r="LV58" s="25"/>
      <c r="LW58" s="25"/>
      <c r="LX58" s="25"/>
      <c r="LY58" s="25"/>
      <c r="LZ58" s="25"/>
      <c r="MA58" s="25"/>
      <c r="MB58" s="25"/>
      <c r="MC58" s="25"/>
      <c r="MD58" s="25"/>
      <c r="ME58" s="25"/>
      <c r="MF58" s="25"/>
      <c r="MG58" s="25"/>
      <c r="MH58" s="25"/>
      <c r="MI58" s="25"/>
      <c r="MJ58" s="25"/>
      <c r="MK58" s="25"/>
      <c r="ML58" s="25"/>
      <c r="MM58" s="25"/>
      <c r="MN58" s="25"/>
      <c r="MO58" s="25"/>
      <c r="MP58" s="25"/>
      <c r="MQ58" s="25"/>
      <c r="MR58" s="25"/>
      <c r="MS58" s="25"/>
      <c r="MT58" s="25"/>
      <c r="MU58" s="25"/>
      <c r="MV58" s="25"/>
      <c r="MW58" s="25"/>
      <c r="MX58" s="25"/>
      <c r="MY58" s="25"/>
      <c r="MZ58" s="25"/>
      <c r="NA58" s="25"/>
      <c r="NB58" s="25"/>
      <c r="NC58" s="25"/>
      <c r="ND58" s="25"/>
      <c r="NE58" s="33"/>
    </row>
    <row r="59" spans="1:427" ht="13.5" customHeight="1" x14ac:dyDescent="0.2">
      <c r="A59" s="28" t="s">
        <v>75</v>
      </c>
      <c r="B59" s="22" t="s">
        <v>61</v>
      </c>
      <c r="C59" s="26"/>
      <c r="D59" s="44">
        <v>8</v>
      </c>
      <c r="E59" s="23" t="s">
        <v>51</v>
      </c>
      <c r="F59" s="24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  <c r="KF59" s="25"/>
      <c r="KG59" s="25"/>
      <c r="KH59" s="25"/>
      <c r="KI59" s="25"/>
      <c r="KJ59" s="25"/>
      <c r="KK59" s="25"/>
      <c r="KL59" s="25"/>
      <c r="KM59" s="25"/>
      <c r="KN59" s="25"/>
      <c r="KO59" s="25"/>
      <c r="KP59" s="25"/>
      <c r="KQ59" s="25"/>
      <c r="KR59" s="25"/>
      <c r="KS59" s="25"/>
      <c r="KT59" s="25"/>
      <c r="KU59" s="25"/>
      <c r="KV59" s="25"/>
      <c r="KW59" s="25"/>
      <c r="KX59" s="25"/>
      <c r="KY59" s="25"/>
      <c r="KZ59" s="25"/>
      <c r="LA59" s="25"/>
      <c r="LB59" s="25"/>
      <c r="LC59" s="25"/>
      <c r="LD59" s="25"/>
      <c r="LE59" s="25"/>
      <c r="LF59" s="25"/>
      <c r="LG59" s="25"/>
      <c r="LH59" s="25"/>
      <c r="LI59" s="25"/>
      <c r="LJ59" s="25"/>
      <c r="LK59" s="25"/>
      <c r="LL59" s="25"/>
      <c r="LM59" s="25"/>
      <c r="LN59" s="25"/>
      <c r="LO59" s="25"/>
      <c r="LP59" s="25"/>
      <c r="LQ59" s="25"/>
      <c r="LR59" s="25"/>
      <c r="LS59" s="25"/>
      <c r="LT59" s="25"/>
      <c r="LU59" s="25"/>
      <c r="LV59" s="25"/>
      <c r="LW59" s="25"/>
      <c r="LX59" s="25"/>
      <c r="LY59" s="25"/>
      <c r="LZ59" s="25"/>
      <c r="MA59" s="25"/>
      <c r="MB59" s="25"/>
      <c r="MC59" s="25"/>
      <c r="MD59" s="25"/>
      <c r="ME59" s="25"/>
      <c r="MF59" s="25"/>
      <c r="MG59" s="25"/>
      <c r="MH59" s="25"/>
      <c r="MI59" s="25"/>
      <c r="MJ59" s="25"/>
      <c r="MK59" s="25"/>
      <c r="ML59" s="25"/>
      <c r="MM59" s="25"/>
      <c r="MN59" s="25"/>
      <c r="MO59" s="25"/>
      <c r="MP59" s="25"/>
      <c r="MQ59" s="25"/>
      <c r="MR59" s="25"/>
      <c r="MS59" s="25"/>
      <c r="MT59" s="25"/>
      <c r="MU59" s="25"/>
      <c r="MV59" s="25"/>
      <c r="MW59" s="25"/>
      <c r="MX59" s="25"/>
      <c r="MY59" s="25"/>
      <c r="MZ59" s="25"/>
      <c r="NA59" s="25"/>
      <c r="NB59" s="25"/>
      <c r="NC59" s="25"/>
      <c r="ND59" s="25"/>
      <c r="NE59" s="33"/>
      <c r="OG59" s="18">
        <v>1</v>
      </c>
      <c r="OH59" s="18">
        <v>43196</v>
      </c>
      <c r="OI59" s="18">
        <v>43248</v>
      </c>
      <c r="PJ59" s="20" t="s">
        <v>11</v>
      </c>
      <c r="PK59" s="20">
        <v>106</v>
      </c>
    </row>
    <row r="60" spans="1:427" ht="0.75" customHeight="1" x14ac:dyDescent="0.2">
      <c r="A60" s="28"/>
      <c r="B60" s="22"/>
      <c r="C60" s="22"/>
      <c r="D60" s="44"/>
      <c r="E60" s="23"/>
      <c r="F60" s="24" t="s">
        <v>10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  <c r="KF60" s="25"/>
      <c r="KG60" s="25"/>
      <c r="KH60" s="25"/>
      <c r="KI60" s="25"/>
      <c r="KJ60" s="25"/>
      <c r="KK60" s="25"/>
      <c r="KL60" s="25"/>
      <c r="KM60" s="25"/>
      <c r="KN60" s="25"/>
      <c r="KO60" s="25"/>
      <c r="KP60" s="25"/>
      <c r="KQ60" s="25"/>
      <c r="KR60" s="25"/>
      <c r="KS60" s="25"/>
      <c r="KT60" s="25"/>
      <c r="KU60" s="25"/>
      <c r="KV60" s="25"/>
      <c r="KW60" s="25"/>
      <c r="KX60" s="25"/>
      <c r="KY60" s="25"/>
      <c r="KZ60" s="25"/>
      <c r="LA60" s="25"/>
      <c r="LB60" s="25"/>
      <c r="LC60" s="25"/>
      <c r="LD60" s="25"/>
      <c r="LE60" s="25"/>
      <c r="LF60" s="25"/>
      <c r="LG60" s="25"/>
      <c r="LH60" s="25"/>
      <c r="LI60" s="25"/>
      <c r="LJ60" s="25"/>
      <c r="LK60" s="25"/>
      <c r="LL60" s="25"/>
      <c r="LM60" s="25"/>
      <c r="LN60" s="25"/>
      <c r="LO60" s="25"/>
      <c r="LP60" s="25"/>
      <c r="LQ60" s="25"/>
      <c r="LR60" s="25"/>
      <c r="LS60" s="25"/>
      <c r="LT60" s="25"/>
      <c r="LU60" s="25"/>
      <c r="LV60" s="25"/>
      <c r="LW60" s="25"/>
      <c r="LX60" s="25"/>
      <c r="LY60" s="25"/>
      <c r="LZ60" s="25"/>
      <c r="MA60" s="25"/>
      <c r="MB60" s="25"/>
      <c r="MC60" s="25"/>
      <c r="MD60" s="25"/>
      <c r="ME60" s="25"/>
      <c r="MF60" s="25"/>
      <c r="MG60" s="25"/>
      <c r="MH60" s="25"/>
      <c r="MI60" s="25"/>
      <c r="MJ60" s="25"/>
      <c r="MK60" s="25"/>
      <c r="ML60" s="25"/>
      <c r="MM60" s="25"/>
      <c r="MN60" s="25"/>
      <c r="MO60" s="25"/>
      <c r="MP60" s="25"/>
      <c r="MQ60" s="25"/>
      <c r="MR60" s="25"/>
      <c r="MS60" s="25"/>
      <c r="MT60" s="25"/>
      <c r="MU60" s="25"/>
      <c r="MV60" s="25"/>
      <c r="MW60" s="25"/>
      <c r="MX60" s="25"/>
      <c r="MY60" s="25"/>
      <c r="MZ60" s="25"/>
      <c r="NA60" s="25"/>
      <c r="NB60" s="25"/>
      <c r="NC60" s="25"/>
      <c r="ND60" s="25"/>
      <c r="NE60" s="33"/>
    </row>
    <row r="61" spans="1:427" ht="13.5" customHeight="1" x14ac:dyDescent="0.2">
      <c r="A61" s="28" t="s">
        <v>75</v>
      </c>
      <c r="B61" s="41" t="s">
        <v>62</v>
      </c>
      <c r="C61" s="26"/>
      <c r="D61" s="44">
        <v>8</v>
      </c>
      <c r="E61" s="23" t="s">
        <v>63</v>
      </c>
      <c r="F61" s="24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  <c r="KF61" s="25"/>
      <c r="KG61" s="25"/>
      <c r="KH61" s="25"/>
      <c r="KI61" s="25"/>
      <c r="KJ61" s="25"/>
      <c r="KK61" s="25"/>
      <c r="KL61" s="25"/>
      <c r="KM61" s="25"/>
      <c r="KN61" s="25"/>
      <c r="KO61" s="25"/>
      <c r="KP61" s="25"/>
      <c r="KQ61" s="25"/>
      <c r="KR61" s="25"/>
      <c r="KS61" s="25"/>
      <c r="KT61" s="25"/>
      <c r="KU61" s="25"/>
      <c r="KV61" s="25"/>
      <c r="KW61" s="25"/>
      <c r="KX61" s="25"/>
      <c r="KY61" s="25"/>
      <c r="KZ61" s="25"/>
      <c r="LA61" s="25"/>
      <c r="LB61" s="25"/>
      <c r="LC61" s="25"/>
      <c r="LD61" s="25"/>
      <c r="LE61" s="25"/>
      <c r="LF61" s="25"/>
      <c r="LG61" s="25"/>
      <c r="LH61" s="25"/>
      <c r="LI61" s="25"/>
      <c r="LJ61" s="25"/>
      <c r="LK61" s="25"/>
      <c r="LL61" s="25"/>
      <c r="LM61" s="25"/>
      <c r="LN61" s="25"/>
      <c r="LO61" s="25"/>
      <c r="LP61" s="25"/>
      <c r="LQ61" s="25"/>
      <c r="LR61" s="25"/>
      <c r="LS61" s="25"/>
      <c r="LT61" s="25"/>
      <c r="LU61" s="25"/>
      <c r="LV61" s="25"/>
      <c r="LW61" s="25"/>
      <c r="LX61" s="25"/>
      <c r="LY61" s="25"/>
      <c r="LZ61" s="25"/>
      <c r="MA61" s="25"/>
      <c r="MB61" s="25"/>
      <c r="MC61" s="25"/>
      <c r="MD61" s="25"/>
      <c r="ME61" s="25"/>
      <c r="MF61" s="25"/>
      <c r="MG61" s="25"/>
      <c r="MH61" s="25"/>
      <c r="MI61" s="25"/>
      <c r="MJ61" s="25"/>
      <c r="MK61" s="25"/>
      <c r="ML61" s="25"/>
      <c r="MM61" s="25"/>
      <c r="MN61" s="25"/>
      <c r="MO61" s="25"/>
      <c r="MP61" s="25"/>
      <c r="MQ61" s="25"/>
      <c r="MR61" s="25"/>
      <c r="MS61" s="25"/>
      <c r="MT61" s="25"/>
      <c r="MU61" s="25"/>
      <c r="MV61" s="25"/>
      <c r="MW61" s="25"/>
      <c r="MX61" s="25"/>
      <c r="MY61" s="25"/>
      <c r="MZ61" s="25"/>
      <c r="NA61" s="25"/>
      <c r="NB61" s="25"/>
      <c r="NC61" s="25"/>
      <c r="ND61" s="25"/>
      <c r="NE61" s="33"/>
      <c r="OG61" s="18">
        <v>1</v>
      </c>
      <c r="OH61" s="18">
        <v>43336</v>
      </c>
      <c r="OI61" s="18">
        <v>43388</v>
      </c>
      <c r="PJ61" s="20" t="s">
        <v>11</v>
      </c>
      <c r="PK61" s="20">
        <v>106</v>
      </c>
    </row>
    <row r="62" spans="1:427" ht="0.75" customHeight="1" x14ac:dyDescent="0.2">
      <c r="A62" s="28" t="s">
        <v>74</v>
      </c>
      <c r="B62" s="22"/>
      <c r="C62" s="22"/>
      <c r="D62" s="44"/>
      <c r="E62" s="23"/>
      <c r="F62" s="24" t="s">
        <v>10</v>
      </c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  <c r="IB62" s="25"/>
      <c r="IC62" s="25"/>
      <c r="ID62" s="25"/>
      <c r="IE62" s="25"/>
      <c r="IF62" s="25"/>
      <c r="IG62" s="25"/>
      <c r="IH62" s="25"/>
      <c r="II62" s="25"/>
      <c r="IJ62" s="25"/>
      <c r="IK62" s="25"/>
      <c r="IL62" s="25"/>
      <c r="IM62" s="25"/>
      <c r="IN62" s="25"/>
      <c r="IO62" s="25"/>
      <c r="IP62" s="25"/>
      <c r="IQ62" s="25"/>
      <c r="IR62" s="25"/>
      <c r="IS62" s="25"/>
      <c r="IT62" s="25"/>
      <c r="IU62" s="25"/>
      <c r="IV62" s="25"/>
      <c r="IW62" s="25"/>
      <c r="IX62" s="25"/>
      <c r="IY62" s="25"/>
      <c r="IZ62" s="25"/>
      <c r="JA62" s="25"/>
      <c r="JB62" s="25"/>
      <c r="JC62" s="25"/>
      <c r="JD62" s="25"/>
      <c r="JE62" s="25"/>
      <c r="JF62" s="25"/>
      <c r="JG62" s="25"/>
      <c r="JH62" s="25"/>
      <c r="JI62" s="25"/>
      <c r="JJ62" s="25"/>
      <c r="JK62" s="25"/>
      <c r="JL62" s="25"/>
      <c r="JM62" s="25"/>
      <c r="JN62" s="25"/>
      <c r="JO62" s="25"/>
      <c r="JP62" s="25"/>
      <c r="JQ62" s="25"/>
      <c r="JR62" s="25"/>
      <c r="JS62" s="25"/>
      <c r="JT62" s="25"/>
      <c r="JU62" s="25"/>
      <c r="JV62" s="25"/>
      <c r="JW62" s="25"/>
      <c r="JX62" s="25"/>
      <c r="JY62" s="25"/>
      <c r="JZ62" s="25"/>
      <c r="KA62" s="25"/>
      <c r="KB62" s="25"/>
      <c r="KC62" s="25"/>
      <c r="KD62" s="25"/>
      <c r="KE62" s="25"/>
      <c r="KF62" s="25"/>
      <c r="KG62" s="25"/>
      <c r="KH62" s="25"/>
      <c r="KI62" s="25"/>
      <c r="KJ62" s="25"/>
      <c r="KK62" s="25"/>
      <c r="KL62" s="25"/>
      <c r="KM62" s="25"/>
      <c r="KN62" s="25"/>
      <c r="KO62" s="25"/>
      <c r="KP62" s="25"/>
      <c r="KQ62" s="25"/>
      <c r="KR62" s="25"/>
      <c r="KS62" s="25"/>
      <c r="KT62" s="25"/>
      <c r="KU62" s="25"/>
      <c r="KV62" s="25"/>
      <c r="KW62" s="25"/>
      <c r="KX62" s="25"/>
      <c r="KY62" s="25"/>
      <c r="KZ62" s="25"/>
      <c r="LA62" s="25"/>
      <c r="LB62" s="25"/>
      <c r="LC62" s="25"/>
      <c r="LD62" s="25"/>
      <c r="LE62" s="25"/>
      <c r="LF62" s="25"/>
      <c r="LG62" s="25"/>
      <c r="LH62" s="25"/>
      <c r="LI62" s="25"/>
      <c r="LJ62" s="25"/>
      <c r="LK62" s="25"/>
      <c r="LL62" s="25"/>
      <c r="LM62" s="25"/>
      <c r="LN62" s="25"/>
      <c r="LO62" s="25"/>
      <c r="LP62" s="25"/>
      <c r="LQ62" s="25"/>
      <c r="LR62" s="25"/>
      <c r="LS62" s="25"/>
      <c r="LT62" s="25"/>
      <c r="LU62" s="25"/>
      <c r="LV62" s="25"/>
      <c r="LW62" s="25"/>
      <c r="LX62" s="25"/>
      <c r="LY62" s="25"/>
      <c r="LZ62" s="25"/>
      <c r="MA62" s="25"/>
      <c r="MB62" s="25"/>
      <c r="MC62" s="25"/>
      <c r="MD62" s="25"/>
      <c r="ME62" s="25"/>
      <c r="MF62" s="25"/>
      <c r="MG62" s="25"/>
      <c r="MH62" s="25"/>
      <c r="MI62" s="25"/>
      <c r="MJ62" s="25"/>
      <c r="MK62" s="25"/>
      <c r="ML62" s="25"/>
      <c r="MM62" s="25"/>
      <c r="MN62" s="25"/>
      <c r="MO62" s="25"/>
      <c r="MP62" s="25"/>
      <c r="MQ62" s="25"/>
      <c r="MR62" s="25"/>
      <c r="MS62" s="25"/>
      <c r="MT62" s="25"/>
      <c r="MU62" s="25"/>
      <c r="MV62" s="25"/>
      <c r="MW62" s="25"/>
      <c r="MX62" s="25"/>
      <c r="MY62" s="25"/>
      <c r="MZ62" s="25"/>
      <c r="NA62" s="25"/>
      <c r="NB62" s="25"/>
      <c r="NC62" s="25"/>
      <c r="ND62" s="25"/>
      <c r="NE62" s="33"/>
    </row>
    <row r="63" spans="1:427" ht="13.5" customHeight="1" x14ac:dyDescent="0.2">
      <c r="A63" s="28" t="s">
        <v>75</v>
      </c>
      <c r="B63" s="41" t="s">
        <v>64</v>
      </c>
      <c r="C63" s="26"/>
      <c r="D63" s="44">
        <v>8</v>
      </c>
      <c r="E63" s="23" t="s">
        <v>65</v>
      </c>
      <c r="F63" s="24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  <c r="HT63" s="25"/>
      <c r="HU63" s="25"/>
      <c r="HV63" s="25"/>
      <c r="HW63" s="25"/>
      <c r="HX63" s="25"/>
      <c r="HY63" s="25"/>
      <c r="HZ63" s="25"/>
      <c r="IA63" s="25"/>
      <c r="IB63" s="25"/>
      <c r="IC63" s="25"/>
      <c r="ID63" s="25"/>
      <c r="IE63" s="25"/>
      <c r="IF63" s="25"/>
      <c r="IG63" s="25"/>
      <c r="IH63" s="25"/>
      <c r="II63" s="25"/>
      <c r="IJ63" s="25"/>
      <c r="IK63" s="25"/>
      <c r="IL63" s="25"/>
      <c r="IM63" s="25"/>
      <c r="IN63" s="25"/>
      <c r="IO63" s="25"/>
      <c r="IP63" s="25"/>
      <c r="IQ63" s="25"/>
      <c r="IR63" s="25"/>
      <c r="IS63" s="25"/>
      <c r="IT63" s="25"/>
      <c r="IU63" s="25"/>
      <c r="IV63" s="25"/>
      <c r="IW63" s="25"/>
      <c r="IX63" s="25"/>
      <c r="IY63" s="25"/>
      <c r="IZ63" s="25"/>
      <c r="JA63" s="25"/>
      <c r="JB63" s="25"/>
      <c r="JC63" s="25"/>
      <c r="JD63" s="25"/>
      <c r="JE63" s="25"/>
      <c r="JF63" s="25"/>
      <c r="JG63" s="25"/>
      <c r="JH63" s="25"/>
      <c r="JI63" s="25"/>
      <c r="JJ63" s="25"/>
      <c r="JK63" s="25"/>
      <c r="JL63" s="25"/>
      <c r="JM63" s="25"/>
      <c r="JN63" s="25"/>
      <c r="JO63" s="25"/>
      <c r="JP63" s="25"/>
      <c r="JQ63" s="25"/>
      <c r="JR63" s="25"/>
      <c r="JS63" s="25"/>
      <c r="JT63" s="25"/>
      <c r="JU63" s="25"/>
      <c r="JV63" s="25"/>
      <c r="JW63" s="25"/>
      <c r="JX63" s="25"/>
      <c r="JY63" s="25"/>
      <c r="JZ63" s="25"/>
      <c r="KA63" s="25"/>
      <c r="KB63" s="25"/>
      <c r="KC63" s="25"/>
      <c r="KD63" s="25"/>
      <c r="KE63" s="25"/>
      <c r="KF63" s="25"/>
      <c r="KG63" s="25"/>
      <c r="KH63" s="25"/>
      <c r="KI63" s="25"/>
      <c r="KJ63" s="25"/>
      <c r="KK63" s="25"/>
      <c r="KL63" s="25"/>
      <c r="KM63" s="25"/>
      <c r="KN63" s="25"/>
      <c r="KO63" s="25"/>
      <c r="KP63" s="25"/>
      <c r="KQ63" s="25"/>
      <c r="KR63" s="25"/>
      <c r="KS63" s="25"/>
      <c r="KT63" s="25"/>
      <c r="KU63" s="25"/>
      <c r="KV63" s="25"/>
      <c r="KW63" s="25"/>
      <c r="KX63" s="25"/>
      <c r="KY63" s="25"/>
      <c r="KZ63" s="25"/>
      <c r="LA63" s="25"/>
      <c r="LB63" s="25"/>
      <c r="LC63" s="25"/>
      <c r="LD63" s="25"/>
      <c r="LE63" s="25"/>
      <c r="LF63" s="25"/>
      <c r="LG63" s="25"/>
      <c r="LH63" s="25"/>
      <c r="LI63" s="25"/>
      <c r="LJ63" s="25"/>
      <c r="LK63" s="25"/>
      <c r="LL63" s="25"/>
      <c r="LM63" s="25"/>
      <c r="LN63" s="25"/>
      <c r="LO63" s="25"/>
      <c r="LP63" s="25"/>
      <c r="LQ63" s="25"/>
      <c r="LR63" s="25"/>
      <c r="LS63" s="25"/>
      <c r="LT63" s="25"/>
      <c r="LU63" s="25"/>
      <c r="LV63" s="25"/>
      <c r="LW63" s="25"/>
      <c r="LX63" s="25"/>
      <c r="LY63" s="25"/>
      <c r="LZ63" s="25"/>
      <c r="MA63" s="25"/>
      <c r="MB63" s="25"/>
      <c r="MC63" s="25"/>
      <c r="MD63" s="25"/>
      <c r="ME63" s="25"/>
      <c r="MF63" s="25"/>
      <c r="MG63" s="25"/>
      <c r="MH63" s="25"/>
      <c r="MI63" s="25"/>
      <c r="MJ63" s="25"/>
      <c r="MK63" s="25"/>
      <c r="ML63" s="25"/>
      <c r="MM63" s="25"/>
      <c r="MN63" s="25"/>
      <c r="MO63" s="25"/>
      <c r="MP63" s="25"/>
      <c r="MQ63" s="25"/>
      <c r="MR63" s="25"/>
      <c r="MS63" s="25"/>
      <c r="MT63" s="25"/>
      <c r="MU63" s="25"/>
      <c r="MV63" s="25"/>
      <c r="MW63" s="25"/>
      <c r="MX63" s="25"/>
      <c r="MY63" s="25"/>
      <c r="MZ63" s="25"/>
      <c r="NA63" s="25"/>
      <c r="NB63" s="25"/>
      <c r="NC63" s="25"/>
      <c r="ND63" s="25"/>
      <c r="NE63" s="33"/>
      <c r="OG63" s="18">
        <v>1</v>
      </c>
      <c r="OH63" s="18">
        <v>43196</v>
      </c>
      <c r="OI63" s="18">
        <v>43248</v>
      </c>
      <c r="PJ63" s="20" t="s">
        <v>11</v>
      </c>
      <c r="PK63" s="20">
        <v>106</v>
      </c>
    </row>
    <row r="64" spans="1:427" ht="0.75" customHeight="1" x14ac:dyDescent="0.2">
      <c r="A64" s="28"/>
      <c r="B64" s="22"/>
      <c r="C64" s="22"/>
      <c r="D64" s="44"/>
      <c r="E64" s="23"/>
      <c r="F64" s="24" t="s">
        <v>10</v>
      </c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  <c r="HT64" s="25"/>
      <c r="HU64" s="25"/>
      <c r="HV64" s="25"/>
      <c r="HW64" s="25"/>
      <c r="HX64" s="25"/>
      <c r="HY64" s="25"/>
      <c r="HZ64" s="25"/>
      <c r="IA64" s="25"/>
      <c r="IB64" s="25"/>
      <c r="IC64" s="25"/>
      <c r="ID64" s="25"/>
      <c r="IE64" s="25"/>
      <c r="IF64" s="25"/>
      <c r="IG64" s="25"/>
      <c r="IH64" s="25"/>
      <c r="II64" s="25"/>
      <c r="IJ64" s="25"/>
      <c r="IK64" s="25"/>
      <c r="IL64" s="25"/>
      <c r="IM64" s="25"/>
      <c r="IN64" s="25"/>
      <c r="IO64" s="25"/>
      <c r="IP64" s="25"/>
      <c r="IQ64" s="25"/>
      <c r="IR64" s="25"/>
      <c r="IS64" s="25"/>
      <c r="IT64" s="25"/>
      <c r="IU64" s="25"/>
      <c r="IV64" s="25"/>
      <c r="IW64" s="25"/>
      <c r="IX64" s="25"/>
      <c r="IY64" s="25"/>
      <c r="IZ64" s="25"/>
      <c r="JA64" s="25"/>
      <c r="JB64" s="25"/>
      <c r="JC64" s="25"/>
      <c r="JD64" s="25"/>
      <c r="JE64" s="25"/>
      <c r="JF64" s="25"/>
      <c r="JG64" s="25"/>
      <c r="JH64" s="25"/>
      <c r="JI64" s="25"/>
      <c r="JJ64" s="25"/>
      <c r="JK64" s="25"/>
      <c r="JL64" s="25"/>
      <c r="JM64" s="25"/>
      <c r="JN64" s="25"/>
      <c r="JO64" s="25"/>
      <c r="JP64" s="25"/>
      <c r="JQ64" s="25"/>
      <c r="JR64" s="25"/>
      <c r="JS64" s="25"/>
      <c r="JT64" s="25"/>
      <c r="JU64" s="25"/>
      <c r="JV64" s="25"/>
      <c r="JW64" s="25"/>
      <c r="JX64" s="25"/>
      <c r="JY64" s="25"/>
      <c r="JZ64" s="25"/>
      <c r="KA64" s="25"/>
      <c r="KB64" s="25"/>
      <c r="KC64" s="25"/>
      <c r="KD64" s="25"/>
      <c r="KE64" s="25"/>
      <c r="KF64" s="25"/>
      <c r="KG64" s="25"/>
      <c r="KH64" s="25"/>
      <c r="KI64" s="25"/>
      <c r="KJ64" s="25"/>
      <c r="KK64" s="25"/>
      <c r="KL64" s="25"/>
      <c r="KM64" s="25"/>
      <c r="KN64" s="25"/>
      <c r="KO64" s="25"/>
      <c r="KP64" s="25"/>
      <c r="KQ64" s="25"/>
      <c r="KR64" s="25"/>
      <c r="KS64" s="25"/>
      <c r="KT64" s="25"/>
      <c r="KU64" s="25"/>
      <c r="KV64" s="25"/>
      <c r="KW64" s="25"/>
      <c r="KX64" s="25"/>
      <c r="KY64" s="25"/>
      <c r="KZ64" s="25"/>
      <c r="LA64" s="25"/>
      <c r="LB64" s="25"/>
      <c r="LC64" s="25"/>
      <c r="LD64" s="25"/>
      <c r="LE64" s="25"/>
      <c r="LF64" s="25"/>
      <c r="LG64" s="25"/>
      <c r="LH64" s="25"/>
      <c r="LI64" s="25"/>
      <c r="LJ64" s="25"/>
      <c r="LK64" s="25"/>
      <c r="LL64" s="25"/>
      <c r="LM64" s="25"/>
      <c r="LN64" s="25"/>
      <c r="LO64" s="25"/>
      <c r="LP64" s="25"/>
      <c r="LQ64" s="25"/>
      <c r="LR64" s="25"/>
      <c r="LS64" s="25"/>
      <c r="LT64" s="25"/>
      <c r="LU64" s="25"/>
      <c r="LV64" s="25"/>
      <c r="LW64" s="25"/>
      <c r="LX64" s="25"/>
      <c r="LY64" s="25"/>
      <c r="LZ64" s="25"/>
      <c r="MA64" s="25"/>
      <c r="MB64" s="25"/>
      <c r="MC64" s="25"/>
      <c r="MD64" s="25"/>
      <c r="ME64" s="25"/>
      <c r="MF64" s="25"/>
      <c r="MG64" s="25"/>
      <c r="MH64" s="25"/>
      <c r="MI64" s="25"/>
      <c r="MJ64" s="25"/>
      <c r="MK64" s="25"/>
      <c r="ML64" s="25"/>
      <c r="MM64" s="25"/>
      <c r="MN64" s="25"/>
      <c r="MO64" s="25"/>
      <c r="MP64" s="25"/>
      <c r="MQ64" s="25"/>
      <c r="MR64" s="25"/>
      <c r="MS64" s="25"/>
      <c r="MT64" s="25"/>
      <c r="MU64" s="25"/>
      <c r="MV64" s="25"/>
      <c r="MW64" s="25"/>
      <c r="MX64" s="25"/>
      <c r="MY64" s="25"/>
      <c r="MZ64" s="25"/>
      <c r="NA64" s="25"/>
      <c r="NB64" s="25"/>
      <c r="NC64" s="25"/>
      <c r="ND64" s="25"/>
      <c r="NE64" s="33"/>
    </row>
    <row r="65" spans="1:427" ht="13.5" customHeight="1" x14ac:dyDescent="0.2">
      <c r="A65" s="28" t="s">
        <v>75</v>
      </c>
      <c r="B65" s="22" t="s">
        <v>66</v>
      </c>
      <c r="C65" s="26"/>
      <c r="D65" s="44">
        <v>8</v>
      </c>
      <c r="E65" s="23" t="s">
        <v>59</v>
      </c>
      <c r="F65" s="24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  <c r="HT65" s="25"/>
      <c r="HU65" s="25"/>
      <c r="HV65" s="25"/>
      <c r="HW65" s="25"/>
      <c r="HX65" s="25"/>
      <c r="HY65" s="25"/>
      <c r="HZ65" s="25"/>
      <c r="IA65" s="25"/>
      <c r="IB65" s="25"/>
      <c r="IC65" s="25"/>
      <c r="ID65" s="25"/>
      <c r="IE65" s="25"/>
      <c r="IF65" s="25"/>
      <c r="IG65" s="25"/>
      <c r="IH65" s="25"/>
      <c r="II65" s="25"/>
      <c r="IJ65" s="25"/>
      <c r="IK65" s="25"/>
      <c r="IL65" s="25"/>
      <c r="IM65" s="25"/>
      <c r="IN65" s="25"/>
      <c r="IO65" s="25"/>
      <c r="IP65" s="25"/>
      <c r="IQ65" s="25"/>
      <c r="IR65" s="25"/>
      <c r="IS65" s="25"/>
      <c r="IT65" s="25"/>
      <c r="IU65" s="25"/>
      <c r="IV65" s="25"/>
      <c r="IW65" s="25"/>
      <c r="IX65" s="25"/>
      <c r="IY65" s="25"/>
      <c r="IZ65" s="25"/>
      <c r="JA65" s="25"/>
      <c r="JB65" s="25"/>
      <c r="JC65" s="25"/>
      <c r="JD65" s="25"/>
      <c r="JE65" s="25"/>
      <c r="JF65" s="25"/>
      <c r="JG65" s="25"/>
      <c r="JH65" s="25"/>
      <c r="JI65" s="25"/>
      <c r="JJ65" s="25"/>
      <c r="JK65" s="25"/>
      <c r="JL65" s="25"/>
      <c r="JM65" s="25"/>
      <c r="JN65" s="25"/>
      <c r="JO65" s="25"/>
      <c r="JP65" s="25"/>
      <c r="JQ65" s="25"/>
      <c r="JR65" s="25"/>
      <c r="JS65" s="25"/>
      <c r="JT65" s="25"/>
      <c r="JU65" s="25"/>
      <c r="JV65" s="25"/>
      <c r="JW65" s="25"/>
      <c r="JX65" s="25"/>
      <c r="JY65" s="25"/>
      <c r="JZ65" s="25"/>
      <c r="KA65" s="25"/>
      <c r="KB65" s="25"/>
      <c r="KC65" s="25"/>
      <c r="KD65" s="25"/>
      <c r="KE65" s="25"/>
      <c r="KF65" s="25"/>
      <c r="KG65" s="25"/>
      <c r="KH65" s="25"/>
      <c r="KI65" s="25"/>
      <c r="KJ65" s="25"/>
      <c r="KK65" s="25"/>
      <c r="KL65" s="25"/>
      <c r="KM65" s="25"/>
      <c r="KN65" s="25"/>
      <c r="KO65" s="25"/>
      <c r="KP65" s="25"/>
      <c r="KQ65" s="25"/>
      <c r="KR65" s="25"/>
      <c r="KS65" s="25"/>
      <c r="KT65" s="25"/>
      <c r="KU65" s="25"/>
      <c r="KV65" s="25"/>
      <c r="KW65" s="25"/>
      <c r="KX65" s="25"/>
      <c r="KY65" s="25"/>
      <c r="KZ65" s="25"/>
      <c r="LA65" s="25"/>
      <c r="LB65" s="25"/>
      <c r="LC65" s="25"/>
      <c r="LD65" s="25"/>
      <c r="LE65" s="25"/>
      <c r="LF65" s="25"/>
      <c r="LG65" s="25"/>
      <c r="LH65" s="25"/>
      <c r="LI65" s="25"/>
      <c r="LJ65" s="25"/>
      <c r="LK65" s="25"/>
      <c r="LL65" s="25"/>
      <c r="LM65" s="25"/>
      <c r="LN65" s="25"/>
      <c r="LO65" s="25"/>
      <c r="LP65" s="25"/>
      <c r="LQ65" s="25"/>
      <c r="LR65" s="25"/>
      <c r="LS65" s="25"/>
      <c r="LT65" s="25"/>
      <c r="LU65" s="25"/>
      <c r="LV65" s="25"/>
      <c r="LW65" s="25"/>
      <c r="LX65" s="25"/>
      <c r="LY65" s="25"/>
      <c r="LZ65" s="25"/>
      <c r="MA65" s="25"/>
      <c r="MB65" s="25"/>
      <c r="MC65" s="25"/>
      <c r="MD65" s="25"/>
      <c r="ME65" s="25"/>
      <c r="MF65" s="25"/>
      <c r="MG65" s="25"/>
      <c r="MH65" s="25"/>
      <c r="MI65" s="25"/>
      <c r="MJ65" s="25"/>
      <c r="MK65" s="25"/>
      <c r="ML65" s="25"/>
      <c r="MM65" s="25"/>
      <c r="MN65" s="25"/>
      <c r="MO65" s="25"/>
      <c r="MP65" s="25"/>
      <c r="MQ65" s="25"/>
      <c r="MR65" s="25"/>
      <c r="MS65" s="25"/>
      <c r="MT65" s="25"/>
      <c r="MU65" s="25"/>
      <c r="MV65" s="25"/>
      <c r="MW65" s="25"/>
      <c r="MX65" s="25"/>
      <c r="MY65" s="25"/>
      <c r="MZ65" s="25"/>
      <c r="NA65" s="25"/>
      <c r="NB65" s="25"/>
      <c r="NC65" s="25"/>
      <c r="ND65" s="25"/>
      <c r="NE65" s="33"/>
      <c r="OG65" s="18">
        <v>1</v>
      </c>
      <c r="OH65" s="18">
        <v>43336</v>
      </c>
      <c r="OI65" s="18">
        <v>43388</v>
      </c>
      <c r="PJ65" s="20" t="s">
        <v>11</v>
      </c>
      <c r="PK65" s="20">
        <v>106</v>
      </c>
    </row>
    <row r="66" spans="1:427" ht="0.75" customHeight="1" x14ac:dyDescent="0.2">
      <c r="A66" s="28" t="s">
        <v>74</v>
      </c>
      <c r="B66" s="22"/>
      <c r="C66" s="22"/>
      <c r="D66" s="44"/>
      <c r="E66" s="23"/>
      <c r="F66" s="24" t="s">
        <v>10</v>
      </c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  <c r="EX66" s="25"/>
      <c r="EY66" s="25"/>
      <c r="EZ66" s="25"/>
      <c r="FA66" s="25"/>
      <c r="FB66" s="25"/>
      <c r="FC66" s="25"/>
      <c r="FD66" s="25"/>
      <c r="FE66" s="25"/>
      <c r="FF66" s="25"/>
      <c r="FG66" s="25"/>
      <c r="FH66" s="25"/>
      <c r="FI66" s="25"/>
      <c r="FJ66" s="25"/>
      <c r="FK66" s="25"/>
      <c r="FL66" s="25"/>
      <c r="FM66" s="25"/>
      <c r="FN66" s="25"/>
      <c r="FO66" s="25"/>
      <c r="FP66" s="25"/>
      <c r="FQ66" s="25"/>
      <c r="FR66" s="25"/>
      <c r="FS66" s="25"/>
      <c r="FT66" s="25"/>
      <c r="FU66" s="25"/>
      <c r="FV66" s="25"/>
      <c r="FW66" s="25"/>
      <c r="FX66" s="25"/>
      <c r="FY66" s="25"/>
      <c r="FZ66" s="25"/>
      <c r="GA66" s="25"/>
      <c r="GB66" s="25"/>
      <c r="GC66" s="25"/>
      <c r="GD66" s="25"/>
      <c r="GE66" s="25"/>
      <c r="GF66" s="25"/>
      <c r="GG66" s="25"/>
      <c r="GH66" s="25"/>
      <c r="GI66" s="25"/>
      <c r="GJ66" s="25"/>
      <c r="GK66" s="25"/>
      <c r="GL66" s="25"/>
      <c r="GM66" s="25"/>
      <c r="GN66" s="25"/>
      <c r="GO66" s="25"/>
      <c r="GP66" s="25"/>
      <c r="GQ66" s="25"/>
      <c r="GR66" s="25"/>
      <c r="GS66" s="25"/>
      <c r="GT66" s="25"/>
      <c r="GU66" s="25"/>
      <c r="GV66" s="25"/>
      <c r="GW66" s="25"/>
      <c r="GX66" s="25"/>
      <c r="GY66" s="25"/>
      <c r="GZ66" s="25"/>
      <c r="HA66" s="25"/>
      <c r="HB66" s="25"/>
      <c r="HC66" s="25"/>
      <c r="HD66" s="25"/>
      <c r="HE66" s="25"/>
      <c r="HF66" s="25"/>
      <c r="HG66" s="25"/>
      <c r="HH66" s="25"/>
      <c r="HI66" s="25"/>
      <c r="HJ66" s="25"/>
      <c r="HK66" s="25"/>
      <c r="HL66" s="25"/>
      <c r="HM66" s="25"/>
      <c r="HN66" s="25"/>
      <c r="HO66" s="25"/>
      <c r="HP66" s="25"/>
      <c r="HQ66" s="25"/>
      <c r="HR66" s="25"/>
      <c r="HS66" s="25"/>
      <c r="HT66" s="25"/>
      <c r="HU66" s="25"/>
      <c r="HV66" s="25"/>
      <c r="HW66" s="25"/>
      <c r="HX66" s="25"/>
      <c r="HY66" s="25"/>
      <c r="HZ66" s="25"/>
      <c r="IA66" s="25"/>
      <c r="IB66" s="25"/>
      <c r="IC66" s="25"/>
      <c r="ID66" s="25"/>
      <c r="IE66" s="25"/>
      <c r="IF66" s="25"/>
      <c r="IG66" s="25"/>
      <c r="IH66" s="25"/>
      <c r="II66" s="25"/>
      <c r="IJ66" s="25"/>
      <c r="IK66" s="25"/>
      <c r="IL66" s="25"/>
      <c r="IM66" s="25"/>
      <c r="IN66" s="25"/>
      <c r="IO66" s="25"/>
      <c r="IP66" s="25"/>
      <c r="IQ66" s="25"/>
      <c r="IR66" s="25"/>
      <c r="IS66" s="25"/>
      <c r="IT66" s="25"/>
      <c r="IU66" s="25"/>
      <c r="IV66" s="25"/>
      <c r="IW66" s="25"/>
      <c r="IX66" s="25"/>
      <c r="IY66" s="25"/>
      <c r="IZ66" s="25"/>
      <c r="JA66" s="25"/>
      <c r="JB66" s="25"/>
      <c r="JC66" s="25"/>
      <c r="JD66" s="25"/>
      <c r="JE66" s="25"/>
      <c r="JF66" s="25"/>
      <c r="JG66" s="25"/>
      <c r="JH66" s="25"/>
      <c r="JI66" s="25"/>
      <c r="JJ66" s="25"/>
      <c r="JK66" s="25"/>
      <c r="JL66" s="25"/>
      <c r="JM66" s="25"/>
      <c r="JN66" s="25"/>
      <c r="JO66" s="25"/>
      <c r="JP66" s="25"/>
      <c r="JQ66" s="25"/>
      <c r="JR66" s="25"/>
      <c r="JS66" s="25"/>
      <c r="JT66" s="25"/>
      <c r="JU66" s="25"/>
      <c r="JV66" s="25"/>
      <c r="JW66" s="25"/>
      <c r="JX66" s="25"/>
      <c r="JY66" s="25"/>
      <c r="JZ66" s="25"/>
      <c r="KA66" s="25"/>
      <c r="KB66" s="25"/>
      <c r="KC66" s="25"/>
      <c r="KD66" s="25"/>
      <c r="KE66" s="25"/>
      <c r="KF66" s="25"/>
      <c r="KG66" s="25"/>
      <c r="KH66" s="25"/>
      <c r="KI66" s="25"/>
      <c r="KJ66" s="25"/>
      <c r="KK66" s="25"/>
      <c r="KL66" s="25"/>
      <c r="KM66" s="25"/>
      <c r="KN66" s="25"/>
      <c r="KO66" s="25"/>
      <c r="KP66" s="25"/>
      <c r="KQ66" s="25"/>
      <c r="KR66" s="25"/>
      <c r="KS66" s="25"/>
      <c r="KT66" s="25"/>
      <c r="KU66" s="25"/>
      <c r="KV66" s="25"/>
      <c r="KW66" s="25"/>
      <c r="KX66" s="25"/>
      <c r="KY66" s="25"/>
      <c r="KZ66" s="25"/>
      <c r="LA66" s="25"/>
      <c r="LB66" s="25"/>
      <c r="LC66" s="25"/>
      <c r="LD66" s="25"/>
      <c r="LE66" s="25"/>
      <c r="LF66" s="25"/>
      <c r="LG66" s="25"/>
      <c r="LH66" s="25"/>
      <c r="LI66" s="25"/>
      <c r="LJ66" s="25"/>
      <c r="LK66" s="25"/>
      <c r="LL66" s="25"/>
      <c r="LM66" s="25"/>
      <c r="LN66" s="25"/>
      <c r="LO66" s="25"/>
      <c r="LP66" s="25"/>
      <c r="LQ66" s="25"/>
      <c r="LR66" s="25"/>
      <c r="LS66" s="25"/>
      <c r="LT66" s="25"/>
      <c r="LU66" s="25"/>
      <c r="LV66" s="25"/>
      <c r="LW66" s="25"/>
      <c r="LX66" s="25"/>
      <c r="LY66" s="25"/>
      <c r="LZ66" s="25"/>
      <c r="MA66" s="25"/>
      <c r="MB66" s="25"/>
      <c r="MC66" s="25"/>
      <c r="MD66" s="25"/>
      <c r="ME66" s="25"/>
      <c r="MF66" s="25"/>
      <c r="MG66" s="25"/>
      <c r="MH66" s="25"/>
      <c r="MI66" s="25"/>
      <c r="MJ66" s="25"/>
      <c r="MK66" s="25"/>
      <c r="ML66" s="25"/>
      <c r="MM66" s="25"/>
      <c r="MN66" s="25"/>
      <c r="MO66" s="25"/>
      <c r="MP66" s="25"/>
      <c r="MQ66" s="25"/>
      <c r="MR66" s="25"/>
      <c r="MS66" s="25"/>
      <c r="MT66" s="25"/>
      <c r="MU66" s="25"/>
      <c r="MV66" s="25"/>
      <c r="MW66" s="25"/>
      <c r="MX66" s="25"/>
      <c r="MY66" s="25"/>
      <c r="MZ66" s="25"/>
      <c r="NA66" s="25"/>
      <c r="NB66" s="25"/>
      <c r="NC66" s="25"/>
      <c r="ND66" s="25"/>
      <c r="NE66" s="33"/>
    </row>
    <row r="67" spans="1:427" ht="13.5" customHeight="1" x14ac:dyDescent="0.2">
      <c r="A67" s="28" t="s">
        <v>75</v>
      </c>
      <c r="B67" s="22" t="s">
        <v>67</v>
      </c>
      <c r="C67" s="26"/>
      <c r="D67" s="44">
        <v>8</v>
      </c>
      <c r="E67" s="23" t="s">
        <v>49</v>
      </c>
      <c r="F67" s="24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  <c r="EX67" s="25"/>
      <c r="EY67" s="25"/>
      <c r="EZ67" s="25"/>
      <c r="FA67" s="25"/>
      <c r="FB67" s="25"/>
      <c r="FC67" s="25"/>
      <c r="FD67" s="25"/>
      <c r="FE67" s="25"/>
      <c r="FF67" s="25"/>
      <c r="FG67" s="25"/>
      <c r="FH67" s="25"/>
      <c r="FI67" s="25"/>
      <c r="FJ67" s="25"/>
      <c r="FK67" s="25"/>
      <c r="FL67" s="25"/>
      <c r="FM67" s="25"/>
      <c r="FN67" s="25"/>
      <c r="FO67" s="25"/>
      <c r="FP67" s="25"/>
      <c r="FQ67" s="25"/>
      <c r="FR67" s="25"/>
      <c r="FS67" s="25"/>
      <c r="FT67" s="25"/>
      <c r="FU67" s="25"/>
      <c r="FV67" s="25"/>
      <c r="FW67" s="25"/>
      <c r="FX67" s="25"/>
      <c r="FY67" s="25"/>
      <c r="FZ67" s="25"/>
      <c r="GA67" s="25"/>
      <c r="GB67" s="25"/>
      <c r="GC67" s="25"/>
      <c r="GD67" s="25"/>
      <c r="GE67" s="25"/>
      <c r="GF67" s="25"/>
      <c r="GG67" s="25"/>
      <c r="GH67" s="25"/>
      <c r="GI67" s="25"/>
      <c r="GJ67" s="25"/>
      <c r="GK67" s="25"/>
      <c r="GL67" s="25"/>
      <c r="GM67" s="25"/>
      <c r="GN67" s="25"/>
      <c r="GO67" s="25"/>
      <c r="GP67" s="25"/>
      <c r="GQ67" s="25"/>
      <c r="GR67" s="25"/>
      <c r="GS67" s="25"/>
      <c r="GT67" s="25"/>
      <c r="GU67" s="25"/>
      <c r="GV67" s="25"/>
      <c r="GW67" s="25"/>
      <c r="GX67" s="25"/>
      <c r="GY67" s="25"/>
      <c r="GZ67" s="25"/>
      <c r="HA67" s="25"/>
      <c r="HB67" s="25"/>
      <c r="HC67" s="25"/>
      <c r="HD67" s="25"/>
      <c r="HE67" s="25"/>
      <c r="HF67" s="25"/>
      <c r="HG67" s="25"/>
      <c r="HH67" s="25"/>
      <c r="HI67" s="25"/>
      <c r="HJ67" s="25"/>
      <c r="HK67" s="25"/>
      <c r="HL67" s="25"/>
      <c r="HM67" s="25"/>
      <c r="HN67" s="25"/>
      <c r="HO67" s="25"/>
      <c r="HP67" s="25"/>
      <c r="HQ67" s="25"/>
      <c r="HR67" s="25"/>
      <c r="HS67" s="25"/>
      <c r="HT67" s="25"/>
      <c r="HU67" s="25"/>
      <c r="HV67" s="25"/>
      <c r="HW67" s="25"/>
      <c r="HX67" s="25"/>
      <c r="HY67" s="25"/>
      <c r="HZ67" s="25"/>
      <c r="IA67" s="25"/>
      <c r="IB67" s="25"/>
      <c r="IC67" s="25"/>
      <c r="ID67" s="25"/>
      <c r="IE67" s="25"/>
      <c r="IF67" s="25"/>
      <c r="IG67" s="25"/>
      <c r="IH67" s="25"/>
      <c r="II67" s="25"/>
      <c r="IJ67" s="25"/>
      <c r="IK67" s="25"/>
      <c r="IL67" s="25"/>
      <c r="IM67" s="25"/>
      <c r="IN67" s="25"/>
      <c r="IO67" s="25"/>
      <c r="IP67" s="25"/>
      <c r="IQ67" s="25"/>
      <c r="IR67" s="25"/>
      <c r="IS67" s="25"/>
      <c r="IT67" s="25"/>
      <c r="IU67" s="25"/>
      <c r="IV67" s="25"/>
      <c r="IW67" s="25"/>
      <c r="IX67" s="25"/>
      <c r="IY67" s="25"/>
      <c r="IZ67" s="25"/>
      <c r="JA67" s="25"/>
      <c r="JB67" s="25"/>
      <c r="JC67" s="25"/>
      <c r="JD67" s="25"/>
      <c r="JE67" s="25"/>
      <c r="JF67" s="25"/>
      <c r="JG67" s="25"/>
      <c r="JH67" s="25"/>
      <c r="JI67" s="25"/>
      <c r="JJ67" s="25"/>
      <c r="JK67" s="25"/>
      <c r="JL67" s="25"/>
      <c r="JM67" s="25"/>
      <c r="JN67" s="25"/>
      <c r="JO67" s="25"/>
      <c r="JP67" s="25"/>
      <c r="JQ67" s="25"/>
      <c r="JR67" s="25"/>
      <c r="JS67" s="25"/>
      <c r="JT67" s="25"/>
      <c r="JU67" s="25"/>
      <c r="JV67" s="25"/>
      <c r="JW67" s="25"/>
      <c r="JX67" s="25"/>
      <c r="JY67" s="25"/>
      <c r="JZ67" s="25"/>
      <c r="KA67" s="25"/>
      <c r="KB67" s="25"/>
      <c r="KC67" s="25"/>
      <c r="KD67" s="25"/>
      <c r="KE67" s="25"/>
      <c r="KF67" s="25"/>
      <c r="KG67" s="25"/>
      <c r="KH67" s="25"/>
      <c r="KI67" s="25"/>
      <c r="KJ67" s="25"/>
      <c r="KK67" s="25"/>
      <c r="KL67" s="25"/>
      <c r="KM67" s="25"/>
      <c r="KN67" s="25"/>
      <c r="KO67" s="25"/>
      <c r="KP67" s="25"/>
      <c r="KQ67" s="25"/>
      <c r="KR67" s="25"/>
      <c r="KS67" s="25"/>
      <c r="KT67" s="25"/>
      <c r="KU67" s="25"/>
      <c r="KV67" s="25"/>
      <c r="KW67" s="25"/>
      <c r="KX67" s="25"/>
      <c r="KY67" s="25"/>
      <c r="KZ67" s="25"/>
      <c r="LA67" s="25"/>
      <c r="LB67" s="25"/>
      <c r="LC67" s="25"/>
      <c r="LD67" s="25"/>
      <c r="LE67" s="25"/>
      <c r="LF67" s="25"/>
      <c r="LG67" s="25"/>
      <c r="LH67" s="25"/>
      <c r="LI67" s="25"/>
      <c r="LJ67" s="25"/>
      <c r="LK67" s="25"/>
      <c r="LL67" s="25"/>
      <c r="LM67" s="25"/>
      <c r="LN67" s="25"/>
      <c r="LO67" s="25"/>
      <c r="LP67" s="25"/>
      <c r="LQ67" s="25"/>
      <c r="LR67" s="25"/>
      <c r="LS67" s="25"/>
      <c r="LT67" s="25"/>
      <c r="LU67" s="25"/>
      <c r="LV67" s="25"/>
      <c r="LW67" s="25"/>
      <c r="LX67" s="25"/>
      <c r="LY67" s="25"/>
      <c r="LZ67" s="25"/>
      <c r="MA67" s="25"/>
      <c r="MB67" s="25"/>
      <c r="MC67" s="25"/>
      <c r="MD67" s="25"/>
      <c r="ME67" s="25"/>
      <c r="MF67" s="25"/>
      <c r="MG67" s="25"/>
      <c r="MH67" s="25"/>
      <c r="MI67" s="25"/>
      <c r="MJ67" s="25"/>
      <c r="MK67" s="25"/>
      <c r="ML67" s="25"/>
      <c r="MM67" s="25"/>
      <c r="MN67" s="25"/>
      <c r="MO67" s="25"/>
      <c r="MP67" s="25"/>
      <c r="MQ67" s="25"/>
      <c r="MR67" s="25"/>
      <c r="MS67" s="25"/>
      <c r="MT67" s="25"/>
      <c r="MU67" s="25"/>
      <c r="MV67" s="25"/>
      <c r="MW67" s="25"/>
      <c r="MX67" s="25"/>
      <c r="MY67" s="25"/>
      <c r="MZ67" s="25"/>
      <c r="NA67" s="25"/>
      <c r="NB67" s="25"/>
      <c r="NC67" s="25"/>
      <c r="ND67" s="25"/>
      <c r="NE67" s="33"/>
      <c r="OG67" s="18">
        <v>1</v>
      </c>
      <c r="OH67" s="18">
        <v>43196</v>
      </c>
      <c r="OI67" s="18">
        <v>43248</v>
      </c>
      <c r="PJ67" s="20" t="s">
        <v>11</v>
      </c>
      <c r="PK67" s="20">
        <v>106</v>
      </c>
    </row>
    <row r="68" spans="1:427" ht="0.75" customHeight="1" x14ac:dyDescent="0.2">
      <c r="A68" s="28"/>
      <c r="B68" s="22"/>
      <c r="C68" s="22"/>
      <c r="D68" s="44"/>
      <c r="E68" s="23"/>
      <c r="F68" s="24" t="s">
        <v>10</v>
      </c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  <c r="EX68" s="25"/>
      <c r="EY68" s="25"/>
      <c r="EZ68" s="25"/>
      <c r="FA68" s="25"/>
      <c r="FB68" s="25"/>
      <c r="FC68" s="25"/>
      <c r="FD68" s="25"/>
      <c r="FE68" s="25"/>
      <c r="FF68" s="25"/>
      <c r="FG68" s="25"/>
      <c r="FH68" s="25"/>
      <c r="FI68" s="25"/>
      <c r="FJ68" s="25"/>
      <c r="FK68" s="25"/>
      <c r="FL68" s="25"/>
      <c r="FM68" s="25"/>
      <c r="FN68" s="25"/>
      <c r="FO68" s="25"/>
      <c r="FP68" s="25"/>
      <c r="FQ68" s="25"/>
      <c r="FR68" s="25"/>
      <c r="FS68" s="25"/>
      <c r="FT68" s="25"/>
      <c r="FU68" s="25"/>
      <c r="FV68" s="25"/>
      <c r="FW68" s="25"/>
      <c r="FX68" s="25"/>
      <c r="FY68" s="25"/>
      <c r="FZ68" s="25"/>
      <c r="GA68" s="25"/>
      <c r="GB68" s="25"/>
      <c r="GC68" s="25"/>
      <c r="GD68" s="25"/>
      <c r="GE68" s="25"/>
      <c r="GF68" s="25"/>
      <c r="GG68" s="25"/>
      <c r="GH68" s="25"/>
      <c r="GI68" s="25"/>
      <c r="GJ68" s="25"/>
      <c r="GK68" s="25"/>
      <c r="GL68" s="25"/>
      <c r="GM68" s="25"/>
      <c r="GN68" s="25"/>
      <c r="GO68" s="25"/>
      <c r="GP68" s="25"/>
      <c r="GQ68" s="25"/>
      <c r="GR68" s="25"/>
      <c r="GS68" s="25"/>
      <c r="GT68" s="25"/>
      <c r="GU68" s="25"/>
      <c r="GV68" s="25"/>
      <c r="GW68" s="25"/>
      <c r="GX68" s="25"/>
      <c r="GY68" s="25"/>
      <c r="GZ68" s="25"/>
      <c r="HA68" s="25"/>
      <c r="HB68" s="25"/>
      <c r="HC68" s="25"/>
      <c r="HD68" s="25"/>
      <c r="HE68" s="25"/>
      <c r="HF68" s="25"/>
      <c r="HG68" s="25"/>
      <c r="HH68" s="25"/>
      <c r="HI68" s="25"/>
      <c r="HJ68" s="25"/>
      <c r="HK68" s="25"/>
      <c r="HL68" s="25"/>
      <c r="HM68" s="25"/>
      <c r="HN68" s="25"/>
      <c r="HO68" s="25"/>
      <c r="HP68" s="25"/>
      <c r="HQ68" s="25"/>
      <c r="HR68" s="25"/>
      <c r="HS68" s="25"/>
      <c r="HT68" s="25"/>
      <c r="HU68" s="25"/>
      <c r="HV68" s="25"/>
      <c r="HW68" s="25"/>
      <c r="HX68" s="25"/>
      <c r="HY68" s="25"/>
      <c r="HZ68" s="25"/>
      <c r="IA68" s="25"/>
      <c r="IB68" s="25"/>
      <c r="IC68" s="25"/>
      <c r="ID68" s="25"/>
      <c r="IE68" s="25"/>
      <c r="IF68" s="25"/>
      <c r="IG68" s="25"/>
      <c r="IH68" s="25"/>
      <c r="II68" s="25"/>
      <c r="IJ68" s="25"/>
      <c r="IK68" s="25"/>
      <c r="IL68" s="25"/>
      <c r="IM68" s="25"/>
      <c r="IN68" s="25"/>
      <c r="IO68" s="25"/>
      <c r="IP68" s="25"/>
      <c r="IQ68" s="25"/>
      <c r="IR68" s="25"/>
      <c r="IS68" s="25"/>
      <c r="IT68" s="25"/>
      <c r="IU68" s="25"/>
      <c r="IV68" s="25"/>
      <c r="IW68" s="25"/>
      <c r="IX68" s="25"/>
      <c r="IY68" s="25"/>
      <c r="IZ68" s="25"/>
      <c r="JA68" s="25"/>
      <c r="JB68" s="25"/>
      <c r="JC68" s="25"/>
      <c r="JD68" s="25"/>
      <c r="JE68" s="25"/>
      <c r="JF68" s="25"/>
      <c r="JG68" s="25"/>
      <c r="JH68" s="25"/>
      <c r="JI68" s="25"/>
      <c r="JJ68" s="25"/>
      <c r="JK68" s="25"/>
      <c r="JL68" s="25"/>
      <c r="JM68" s="25"/>
      <c r="JN68" s="25"/>
      <c r="JO68" s="25"/>
      <c r="JP68" s="25"/>
      <c r="JQ68" s="25"/>
      <c r="JR68" s="25"/>
      <c r="JS68" s="25"/>
      <c r="JT68" s="25"/>
      <c r="JU68" s="25"/>
      <c r="JV68" s="25"/>
      <c r="JW68" s="25"/>
      <c r="JX68" s="25"/>
      <c r="JY68" s="25"/>
      <c r="JZ68" s="25"/>
      <c r="KA68" s="25"/>
      <c r="KB68" s="25"/>
      <c r="KC68" s="25"/>
      <c r="KD68" s="25"/>
      <c r="KE68" s="25"/>
      <c r="KF68" s="25"/>
      <c r="KG68" s="25"/>
      <c r="KH68" s="25"/>
      <c r="KI68" s="25"/>
      <c r="KJ68" s="25"/>
      <c r="KK68" s="25"/>
      <c r="KL68" s="25"/>
      <c r="KM68" s="25"/>
      <c r="KN68" s="25"/>
      <c r="KO68" s="25"/>
      <c r="KP68" s="25"/>
      <c r="KQ68" s="25"/>
      <c r="KR68" s="25"/>
      <c r="KS68" s="25"/>
      <c r="KT68" s="25"/>
      <c r="KU68" s="25"/>
      <c r="KV68" s="25"/>
      <c r="KW68" s="25"/>
      <c r="KX68" s="25"/>
      <c r="KY68" s="25"/>
      <c r="KZ68" s="25"/>
      <c r="LA68" s="25"/>
      <c r="LB68" s="25"/>
      <c r="LC68" s="25"/>
      <c r="LD68" s="25"/>
      <c r="LE68" s="25"/>
      <c r="LF68" s="25"/>
      <c r="LG68" s="25"/>
      <c r="LH68" s="25"/>
      <c r="LI68" s="25"/>
      <c r="LJ68" s="25"/>
      <c r="LK68" s="25"/>
      <c r="LL68" s="25"/>
      <c r="LM68" s="25"/>
      <c r="LN68" s="25"/>
      <c r="LO68" s="25"/>
      <c r="LP68" s="25"/>
      <c r="LQ68" s="25"/>
      <c r="LR68" s="25"/>
      <c r="LS68" s="25"/>
      <c r="LT68" s="25"/>
      <c r="LU68" s="25"/>
      <c r="LV68" s="25"/>
      <c r="LW68" s="25"/>
      <c r="LX68" s="25"/>
      <c r="LY68" s="25"/>
      <c r="LZ68" s="25"/>
      <c r="MA68" s="25"/>
      <c r="MB68" s="25"/>
      <c r="MC68" s="25"/>
      <c r="MD68" s="25"/>
      <c r="ME68" s="25"/>
      <c r="MF68" s="25"/>
      <c r="MG68" s="25"/>
      <c r="MH68" s="25"/>
      <c r="MI68" s="25"/>
      <c r="MJ68" s="25"/>
      <c r="MK68" s="25"/>
      <c r="ML68" s="25"/>
      <c r="MM68" s="25"/>
      <c r="MN68" s="25"/>
      <c r="MO68" s="25"/>
      <c r="MP68" s="25"/>
      <c r="MQ68" s="25"/>
      <c r="MR68" s="25"/>
      <c r="MS68" s="25"/>
      <c r="MT68" s="25"/>
      <c r="MU68" s="25"/>
      <c r="MV68" s="25"/>
      <c r="MW68" s="25"/>
      <c r="MX68" s="25"/>
      <c r="MY68" s="25"/>
      <c r="MZ68" s="25"/>
      <c r="NA68" s="25"/>
      <c r="NB68" s="25"/>
      <c r="NC68" s="25"/>
      <c r="ND68" s="25"/>
      <c r="NE68" s="33"/>
    </row>
    <row r="69" spans="1:427" ht="13.5" customHeight="1" x14ac:dyDescent="0.2">
      <c r="A69" s="28" t="s">
        <v>75</v>
      </c>
      <c r="B69" s="41" t="s">
        <v>111</v>
      </c>
      <c r="C69" s="26"/>
      <c r="D69" s="44">
        <v>8</v>
      </c>
      <c r="E69" s="23" t="s">
        <v>68</v>
      </c>
      <c r="F69" s="24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51" t="s">
        <v>109</v>
      </c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  <c r="EX69" s="25"/>
      <c r="EY69" s="25"/>
      <c r="EZ69" s="25"/>
      <c r="FA69" s="25"/>
      <c r="FB69" s="25"/>
      <c r="FC69" s="25"/>
      <c r="FD69" s="25"/>
      <c r="FE69" s="25"/>
      <c r="FF69" s="25"/>
      <c r="FG69" s="25"/>
      <c r="FH69" s="25"/>
      <c r="FI69" s="25"/>
      <c r="FJ69" s="25"/>
      <c r="FK69" s="25"/>
      <c r="FL69" s="25"/>
      <c r="FM69" s="25"/>
      <c r="FN69" s="25"/>
      <c r="FO69" s="25"/>
      <c r="FP69" s="25"/>
      <c r="FQ69" s="25"/>
      <c r="FR69" s="25"/>
      <c r="FS69" s="25"/>
      <c r="FT69" s="25"/>
      <c r="FU69" s="25"/>
      <c r="FV69" s="25"/>
      <c r="FW69" s="25"/>
      <c r="FX69" s="25"/>
      <c r="FY69" s="25"/>
      <c r="FZ69" s="25"/>
      <c r="GA69" s="25"/>
      <c r="GB69" s="25"/>
      <c r="GC69" s="25"/>
      <c r="GD69" s="25"/>
      <c r="GE69" s="25"/>
      <c r="GF69" s="25"/>
      <c r="GG69" s="25"/>
      <c r="GH69" s="25"/>
      <c r="GI69" s="25"/>
      <c r="GJ69" s="25"/>
      <c r="GK69" s="25"/>
      <c r="GL69" s="25"/>
      <c r="GM69" s="25"/>
      <c r="GN69" s="25"/>
      <c r="GO69" s="25"/>
      <c r="GP69" s="25"/>
      <c r="GQ69" s="25"/>
      <c r="GR69" s="25"/>
      <c r="GS69" s="25"/>
      <c r="GT69" s="25"/>
      <c r="GU69" s="25"/>
      <c r="GV69" s="25"/>
      <c r="GW69" s="25"/>
      <c r="GX69" s="25"/>
      <c r="GY69" s="25"/>
      <c r="GZ69" s="25"/>
      <c r="HA69" s="25"/>
      <c r="HB69" s="25"/>
      <c r="HC69" s="25"/>
      <c r="HD69" s="25"/>
      <c r="HE69" s="25"/>
      <c r="HF69" s="25"/>
      <c r="HG69" s="25"/>
      <c r="HH69" s="25"/>
      <c r="HI69" s="25"/>
      <c r="HJ69" s="25"/>
      <c r="HK69" s="25"/>
      <c r="HL69" s="25"/>
      <c r="HM69" s="25"/>
      <c r="HN69" s="25"/>
      <c r="HO69" s="25"/>
      <c r="HP69" s="25"/>
      <c r="HQ69" s="25"/>
      <c r="HR69" s="25"/>
      <c r="HS69" s="25"/>
      <c r="HT69" s="25"/>
      <c r="HU69" s="25"/>
      <c r="HV69" s="25"/>
      <c r="HW69" s="25"/>
      <c r="HX69" s="25"/>
      <c r="HY69" s="25"/>
      <c r="HZ69" s="25"/>
      <c r="IA69" s="25"/>
      <c r="IB69" s="25"/>
      <c r="IC69" s="25"/>
      <c r="ID69" s="25"/>
      <c r="IE69" s="25"/>
      <c r="IF69" s="25"/>
      <c r="IG69" s="25"/>
      <c r="IH69" s="25"/>
      <c r="II69" s="25"/>
      <c r="IJ69" s="25"/>
      <c r="IK69" s="25"/>
      <c r="IL69" s="25"/>
      <c r="IM69" s="25"/>
      <c r="IN69" s="25"/>
      <c r="IO69" s="25"/>
      <c r="IP69" s="25"/>
      <c r="IQ69" s="25"/>
      <c r="IR69" s="25"/>
      <c r="IS69" s="25"/>
      <c r="IT69" s="25"/>
      <c r="IU69" s="25"/>
      <c r="IV69" s="25"/>
      <c r="IW69" s="25"/>
      <c r="IX69" s="25"/>
      <c r="IY69" s="25"/>
      <c r="IZ69" s="25"/>
      <c r="JA69" s="25"/>
      <c r="JB69" s="25"/>
      <c r="JC69" s="25"/>
      <c r="JD69" s="25"/>
      <c r="JE69" s="25"/>
      <c r="JF69" s="25"/>
      <c r="JG69" s="25"/>
      <c r="JH69" s="25"/>
      <c r="JI69" s="25"/>
      <c r="JJ69" s="25"/>
      <c r="JK69" s="25"/>
      <c r="JL69" s="25"/>
      <c r="JM69" s="25"/>
      <c r="JN69" s="25"/>
      <c r="JO69" s="25"/>
      <c r="JP69" s="25"/>
      <c r="JQ69" s="25"/>
      <c r="JR69" s="25"/>
      <c r="JS69" s="25"/>
      <c r="JT69" s="25"/>
      <c r="JU69" s="25"/>
      <c r="JV69" s="25"/>
      <c r="JW69" s="25"/>
      <c r="JX69" s="25"/>
      <c r="JY69" s="25"/>
      <c r="JZ69" s="25"/>
      <c r="KA69" s="25"/>
      <c r="KB69" s="25"/>
      <c r="KC69" s="25"/>
      <c r="KD69" s="25"/>
      <c r="KE69" s="25"/>
      <c r="KF69" s="25"/>
      <c r="KG69" s="25"/>
      <c r="KH69" s="25"/>
      <c r="KI69" s="25"/>
      <c r="KJ69" s="25"/>
      <c r="KK69" s="25"/>
      <c r="KL69" s="25"/>
      <c r="KM69" s="25"/>
      <c r="KN69" s="25"/>
      <c r="KO69" s="25"/>
      <c r="KP69" s="25"/>
      <c r="KQ69" s="25"/>
      <c r="KR69" s="25"/>
      <c r="KS69" s="25"/>
      <c r="KT69" s="25"/>
      <c r="KU69" s="25"/>
      <c r="KV69" s="25"/>
      <c r="KW69" s="25"/>
      <c r="KX69" s="25"/>
      <c r="KY69" s="25"/>
      <c r="KZ69" s="25"/>
      <c r="LA69" s="25"/>
      <c r="LB69" s="25"/>
      <c r="LC69" s="25"/>
      <c r="LD69" s="25"/>
      <c r="LE69" s="25"/>
      <c r="LF69" s="25"/>
      <c r="LG69" s="25"/>
      <c r="LH69" s="25"/>
      <c r="LI69" s="25"/>
      <c r="LJ69" s="25"/>
      <c r="LK69" s="25"/>
      <c r="LL69" s="25"/>
      <c r="LM69" s="25"/>
      <c r="LN69" s="25"/>
      <c r="LO69" s="25"/>
      <c r="LP69" s="25"/>
      <c r="LQ69" s="25"/>
      <c r="LR69" s="25"/>
      <c r="LS69" s="25"/>
      <c r="LT69" s="25"/>
      <c r="LU69" s="25"/>
      <c r="LV69" s="25"/>
      <c r="LW69" s="25"/>
      <c r="LX69" s="25"/>
      <c r="LY69" s="25"/>
      <c r="LZ69" s="25"/>
      <c r="MA69" s="25"/>
      <c r="MB69" s="25"/>
      <c r="MC69" s="25"/>
      <c r="MD69" s="25"/>
      <c r="ME69" s="25"/>
      <c r="MF69" s="25"/>
      <c r="MG69" s="25"/>
      <c r="MH69" s="25"/>
      <c r="MI69" s="25"/>
      <c r="MJ69" s="25"/>
      <c r="MK69" s="25"/>
      <c r="ML69" s="25"/>
      <c r="MM69" s="25"/>
      <c r="MN69" s="25"/>
      <c r="MO69" s="25"/>
      <c r="MP69" s="25"/>
      <c r="MQ69" s="25"/>
      <c r="MR69" s="25"/>
      <c r="MS69" s="25"/>
      <c r="MT69" s="25"/>
      <c r="MU69" s="25"/>
      <c r="MV69" s="25"/>
      <c r="MW69" s="25"/>
      <c r="MX69" s="25"/>
      <c r="MY69" s="25"/>
      <c r="MZ69" s="25"/>
      <c r="NA69" s="25"/>
      <c r="NB69" s="25"/>
      <c r="NC69" s="25"/>
      <c r="ND69" s="25"/>
      <c r="NE69" s="33"/>
      <c r="OG69" s="18">
        <v>1</v>
      </c>
      <c r="OH69" s="18">
        <v>43336</v>
      </c>
      <c r="OI69" s="18">
        <v>43388</v>
      </c>
      <c r="PJ69" s="20" t="s">
        <v>11</v>
      </c>
      <c r="PK69" s="20">
        <v>106</v>
      </c>
    </row>
    <row r="70" spans="1:427" ht="0.75" customHeight="1" x14ac:dyDescent="0.2">
      <c r="A70" s="28" t="s">
        <v>74</v>
      </c>
      <c r="B70" s="22"/>
      <c r="C70" s="22"/>
      <c r="D70" s="44"/>
      <c r="E70" s="23"/>
      <c r="F70" s="24" t="s">
        <v>10</v>
      </c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  <c r="EX70" s="25"/>
      <c r="EY70" s="25"/>
      <c r="EZ70" s="25"/>
      <c r="FA70" s="25"/>
      <c r="FB70" s="25"/>
      <c r="FC70" s="25"/>
      <c r="FD70" s="25"/>
      <c r="FE70" s="25"/>
      <c r="FF70" s="25"/>
      <c r="FG70" s="25"/>
      <c r="FH70" s="25"/>
      <c r="FI70" s="25"/>
      <c r="FJ70" s="25"/>
      <c r="FK70" s="25"/>
      <c r="FL70" s="25"/>
      <c r="FM70" s="25"/>
      <c r="FN70" s="25"/>
      <c r="FO70" s="25"/>
      <c r="FP70" s="25"/>
      <c r="FQ70" s="25"/>
      <c r="FR70" s="25"/>
      <c r="FS70" s="25"/>
      <c r="FT70" s="25"/>
      <c r="FU70" s="25"/>
      <c r="FV70" s="25"/>
      <c r="FW70" s="25"/>
      <c r="FX70" s="25"/>
      <c r="FY70" s="25"/>
      <c r="FZ70" s="25"/>
      <c r="GA70" s="25"/>
      <c r="GB70" s="25"/>
      <c r="GC70" s="25"/>
      <c r="GD70" s="25"/>
      <c r="GE70" s="25"/>
      <c r="GF70" s="25"/>
      <c r="GG70" s="25"/>
      <c r="GH70" s="25"/>
      <c r="GI70" s="25"/>
      <c r="GJ70" s="25"/>
      <c r="GK70" s="25"/>
      <c r="GL70" s="25"/>
      <c r="GM70" s="25"/>
      <c r="GN70" s="25"/>
      <c r="GO70" s="25"/>
      <c r="GP70" s="25"/>
      <c r="GQ70" s="25"/>
      <c r="GR70" s="25"/>
      <c r="GS70" s="25"/>
      <c r="GT70" s="25"/>
      <c r="GU70" s="25"/>
      <c r="GV70" s="25"/>
      <c r="GW70" s="25"/>
      <c r="GX70" s="25"/>
      <c r="GY70" s="25"/>
      <c r="GZ70" s="25"/>
      <c r="HA70" s="25"/>
      <c r="HB70" s="25"/>
      <c r="HC70" s="25"/>
      <c r="HD70" s="25"/>
      <c r="HE70" s="25"/>
      <c r="HF70" s="25"/>
      <c r="HG70" s="25"/>
      <c r="HH70" s="25"/>
      <c r="HI70" s="25"/>
      <c r="HJ70" s="25"/>
      <c r="HK70" s="25"/>
      <c r="HL70" s="25"/>
      <c r="HM70" s="25"/>
      <c r="HN70" s="25"/>
      <c r="HO70" s="25"/>
      <c r="HP70" s="25"/>
      <c r="HQ70" s="25"/>
      <c r="HR70" s="25"/>
      <c r="HS70" s="25"/>
      <c r="HT70" s="25"/>
      <c r="HU70" s="25"/>
      <c r="HV70" s="25"/>
      <c r="HW70" s="25"/>
      <c r="HX70" s="25"/>
      <c r="HY70" s="25"/>
      <c r="HZ70" s="25"/>
      <c r="IA70" s="25"/>
      <c r="IB70" s="25"/>
      <c r="IC70" s="25"/>
      <c r="ID70" s="25"/>
      <c r="IE70" s="25"/>
      <c r="IF70" s="25"/>
      <c r="IG70" s="25"/>
      <c r="IH70" s="25"/>
      <c r="II70" s="25"/>
      <c r="IJ70" s="25"/>
      <c r="IK70" s="25"/>
      <c r="IL70" s="25"/>
      <c r="IM70" s="25"/>
      <c r="IN70" s="25"/>
      <c r="IO70" s="25"/>
      <c r="IP70" s="25"/>
      <c r="IQ70" s="25"/>
      <c r="IR70" s="25"/>
      <c r="IS70" s="25"/>
      <c r="IT70" s="25"/>
      <c r="IU70" s="25"/>
      <c r="IV70" s="25"/>
      <c r="IW70" s="25"/>
      <c r="IX70" s="25"/>
      <c r="IY70" s="25"/>
      <c r="IZ70" s="25"/>
      <c r="JA70" s="25"/>
      <c r="JB70" s="25"/>
      <c r="JC70" s="25"/>
      <c r="JD70" s="25"/>
      <c r="JE70" s="25"/>
      <c r="JF70" s="25"/>
      <c r="JG70" s="25"/>
      <c r="JH70" s="25"/>
      <c r="JI70" s="25"/>
      <c r="JJ70" s="25"/>
      <c r="JK70" s="25"/>
      <c r="JL70" s="25"/>
      <c r="JM70" s="25"/>
      <c r="JN70" s="25"/>
      <c r="JO70" s="25"/>
      <c r="JP70" s="25"/>
      <c r="JQ70" s="25"/>
      <c r="JR70" s="25"/>
      <c r="JS70" s="25"/>
      <c r="JT70" s="25"/>
      <c r="JU70" s="25"/>
      <c r="JV70" s="25"/>
      <c r="JW70" s="25"/>
      <c r="JX70" s="25"/>
      <c r="JY70" s="25"/>
      <c r="JZ70" s="25"/>
      <c r="KA70" s="25"/>
      <c r="KB70" s="25"/>
      <c r="KC70" s="25"/>
      <c r="KD70" s="25"/>
      <c r="KE70" s="25"/>
      <c r="KF70" s="25"/>
      <c r="KG70" s="25"/>
      <c r="KH70" s="25"/>
      <c r="KI70" s="25"/>
      <c r="KJ70" s="25"/>
      <c r="KK70" s="25"/>
      <c r="KL70" s="25"/>
      <c r="KM70" s="25"/>
      <c r="KN70" s="25"/>
      <c r="KO70" s="25"/>
      <c r="KP70" s="25"/>
      <c r="KQ70" s="25"/>
      <c r="KR70" s="25"/>
      <c r="KS70" s="25"/>
      <c r="KT70" s="25"/>
      <c r="KU70" s="25"/>
      <c r="KV70" s="25"/>
      <c r="KW70" s="25"/>
      <c r="KX70" s="25"/>
      <c r="KY70" s="25"/>
      <c r="KZ70" s="25"/>
      <c r="LA70" s="25"/>
      <c r="LB70" s="25"/>
      <c r="LC70" s="25"/>
      <c r="LD70" s="25"/>
      <c r="LE70" s="25"/>
      <c r="LF70" s="25"/>
      <c r="LG70" s="25"/>
      <c r="LH70" s="25"/>
      <c r="LI70" s="25"/>
      <c r="LJ70" s="25"/>
      <c r="LK70" s="25"/>
      <c r="LL70" s="25"/>
      <c r="LM70" s="25"/>
      <c r="LN70" s="25"/>
      <c r="LO70" s="25"/>
      <c r="LP70" s="25"/>
      <c r="LQ70" s="25"/>
      <c r="LR70" s="25"/>
      <c r="LS70" s="25"/>
      <c r="LT70" s="25"/>
      <c r="LU70" s="25"/>
      <c r="LV70" s="25"/>
      <c r="LW70" s="25"/>
      <c r="LX70" s="25"/>
      <c r="LY70" s="25"/>
      <c r="LZ70" s="25"/>
      <c r="MA70" s="25"/>
      <c r="MB70" s="25"/>
      <c r="MC70" s="25"/>
      <c r="MD70" s="25"/>
      <c r="ME70" s="25"/>
      <c r="MF70" s="25"/>
      <c r="MG70" s="25"/>
      <c r="MH70" s="25"/>
      <c r="MI70" s="25"/>
      <c r="MJ70" s="25"/>
      <c r="MK70" s="25"/>
      <c r="ML70" s="25"/>
      <c r="MM70" s="25"/>
      <c r="MN70" s="25"/>
      <c r="MO70" s="25"/>
      <c r="MP70" s="25"/>
      <c r="MQ70" s="25"/>
      <c r="MR70" s="25"/>
      <c r="MS70" s="25"/>
      <c r="MT70" s="25"/>
      <c r="MU70" s="25"/>
      <c r="MV70" s="25"/>
      <c r="MW70" s="25"/>
      <c r="MX70" s="25"/>
      <c r="MY70" s="25"/>
      <c r="MZ70" s="25"/>
      <c r="NA70" s="25"/>
      <c r="NB70" s="25"/>
      <c r="NC70" s="25"/>
      <c r="ND70" s="25"/>
      <c r="NE70" s="33"/>
    </row>
    <row r="71" spans="1:427" ht="13.5" customHeight="1" x14ac:dyDescent="0.2">
      <c r="A71" s="28" t="s">
        <v>74</v>
      </c>
      <c r="B71" s="22" t="s">
        <v>69</v>
      </c>
      <c r="C71" s="26"/>
      <c r="D71" s="44">
        <v>2</v>
      </c>
      <c r="E71" s="23" t="s">
        <v>70</v>
      </c>
      <c r="F71" s="24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  <c r="EX71" s="25"/>
      <c r="EY71" s="25"/>
      <c r="EZ71" s="25"/>
      <c r="FA71" s="25"/>
      <c r="FB71" s="25"/>
      <c r="FC71" s="25"/>
      <c r="FD71" s="25"/>
      <c r="FE71" s="25"/>
      <c r="FF71" s="25"/>
      <c r="FG71" s="25"/>
      <c r="FH71" s="25"/>
      <c r="FI71" s="25"/>
      <c r="FJ71" s="25"/>
      <c r="FK71" s="25"/>
      <c r="FL71" s="25"/>
      <c r="FM71" s="25"/>
      <c r="FN71" s="25"/>
      <c r="FO71" s="25"/>
      <c r="FP71" s="25"/>
      <c r="FQ71" s="25"/>
      <c r="FR71" s="25"/>
      <c r="FS71" s="25"/>
      <c r="FT71" s="25"/>
      <c r="FU71" s="25"/>
      <c r="FV71" s="25"/>
      <c r="FW71" s="25"/>
      <c r="FX71" s="25"/>
      <c r="FY71" s="25"/>
      <c r="FZ71" s="25"/>
      <c r="GA71" s="25"/>
      <c r="GB71" s="25"/>
      <c r="GC71" s="25"/>
      <c r="GD71" s="25"/>
      <c r="GE71" s="25"/>
      <c r="GF71" s="25"/>
      <c r="GG71" s="25"/>
      <c r="GH71" s="25"/>
      <c r="GI71" s="25"/>
      <c r="GJ71" s="25"/>
      <c r="GK71" s="25"/>
      <c r="GL71" s="25"/>
      <c r="GM71" s="25"/>
      <c r="GN71" s="25"/>
      <c r="GO71" s="25"/>
      <c r="GP71" s="25"/>
      <c r="GQ71" s="25"/>
      <c r="GR71" s="25"/>
      <c r="GS71" s="25"/>
      <c r="GT71" s="25"/>
      <c r="GU71" s="25"/>
      <c r="GV71" s="25"/>
      <c r="GW71" s="25"/>
      <c r="GX71" s="25"/>
      <c r="GY71" s="25"/>
      <c r="GZ71" s="25"/>
      <c r="HA71" s="25"/>
      <c r="HB71" s="25"/>
      <c r="HC71" s="25"/>
      <c r="HD71" s="25"/>
      <c r="HE71" s="25"/>
      <c r="HF71" s="25"/>
      <c r="HG71" s="25"/>
      <c r="HH71" s="25"/>
      <c r="HI71" s="25"/>
      <c r="HJ71" s="25"/>
      <c r="HK71" s="25"/>
      <c r="HL71" s="25"/>
      <c r="HM71" s="25"/>
      <c r="HN71" s="25"/>
      <c r="HO71" s="25"/>
      <c r="HP71" s="25"/>
      <c r="HQ71" s="25"/>
      <c r="HR71" s="25"/>
      <c r="HS71" s="25"/>
      <c r="HT71" s="25"/>
      <c r="HU71" s="25"/>
      <c r="HV71" s="25"/>
      <c r="HW71" s="25"/>
      <c r="HX71" s="25"/>
      <c r="HY71" s="25"/>
      <c r="HZ71" s="25"/>
      <c r="IA71" s="25"/>
      <c r="IB71" s="25"/>
      <c r="IC71" s="25"/>
      <c r="ID71" s="25"/>
      <c r="IE71" s="25"/>
      <c r="IF71" s="25"/>
      <c r="IG71" s="25"/>
      <c r="IH71" s="25"/>
      <c r="II71" s="25"/>
      <c r="IJ71" s="25"/>
      <c r="IK71" s="25"/>
      <c r="IL71" s="25"/>
      <c r="IM71" s="25"/>
      <c r="IN71" s="25"/>
      <c r="IO71" s="25"/>
      <c r="IP71" s="25"/>
      <c r="IQ71" s="25"/>
      <c r="IR71" s="25"/>
      <c r="IS71" s="25"/>
      <c r="IT71" s="25"/>
      <c r="IU71" s="25"/>
      <c r="IV71" s="25"/>
      <c r="IW71" s="25"/>
      <c r="IX71" s="25"/>
      <c r="IY71" s="25"/>
      <c r="IZ71" s="25"/>
      <c r="JA71" s="25"/>
      <c r="JB71" s="25"/>
      <c r="JC71" s="25"/>
      <c r="JD71" s="25"/>
      <c r="JE71" s="25"/>
      <c r="JF71" s="25"/>
      <c r="JG71" s="25"/>
      <c r="JH71" s="25"/>
      <c r="JI71" s="25"/>
      <c r="JJ71" s="25"/>
      <c r="JK71" s="25"/>
      <c r="JL71" s="25"/>
      <c r="JM71" s="25"/>
      <c r="JN71" s="25"/>
      <c r="JO71" s="25"/>
      <c r="JP71" s="25"/>
      <c r="JQ71" s="25"/>
      <c r="JR71" s="25"/>
      <c r="JS71" s="25"/>
      <c r="JT71" s="25"/>
      <c r="JU71" s="25"/>
      <c r="JV71" s="25"/>
      <c r="JW71" s="25"/>
      <c r="JX71" s="25"/>
      <c r="JY71" s="25"/>
      <c r="JZ71" s="25"/>
      <c r="KA71" s="25"/>
      <c r="KB71" s="25"/>
      <c r="KC71" s="25"/>
      <c r="KD71" s="25"/>
      <c r="KE71" s="25"/>
      <c r="KF71" s="25"/>
      <c r="KG71" s="25"/>
      <c r="KH71" s="25"/>
      <c r="KI71" s="25"/>
      <c r="KJ71" s="25"/>
      <c r="KK71" s="25"/>
      <c r="KL71" s="25"/>
      <c r="KM71" s="25"/>
      <c r="KN71" s="25"/>
      <c r="KO71" s="25"/>
      <c r="KP71" s="25"/>
      <c r="KQ71" s="25"/>
      <c r="KR71" s="25"/>
      <c r="KS71" s="25"/>
      <c r="KT71" s="25"/>
      <c r="KU71" s="25"/>
      <c r="KV71" s="25"/>
      <c r="KW71" s="25"/>
      <c r="KX71" s="25"/>
      <c r="KY71" s="25"/>
      <c r="KZ71" s="25"/>
      <c r="LA71" s="25"/>
      <c r="LB71" s="25"/>
      <c r="LC71" s="25"/>
      <c r="LD71" s="25"/>
      <c r="LE71" s="25"/>
      <c r="LF71" s="25"/>
      <c r="LG71" s="25"/>
      <c r="LH71" s="25"/>
      <c r="LI71" s="25"/>
      <c r="LJ71" s="25"/>
      <c r="LK71" s="25"/>
      <c r="LL71" s="25"/>
      <c r="LM71" s="25"/>
      <c r="LN71" s="25"/>
      <c r="LO71" s="25"/>
      <c r="LP71" s="25"/>
      <c r="LQ71" s="25"/>
      <c r="LR71" s="25"/>
      <c r="LS71" s="25"/>
      <c r="LT71" s="25"/>
      <c r="LU71" s="25"/>
      <c r="LV71" s="25"/>
      <c r="LW71" s="25"/>
      <c r="LX71" s="25"/>
      <c r="LY71" s="25"/>
      <c r="LZ71" s="25"/>
      <c r="MA71" s="25"/>
      <c r="MB71" s="25"/>
      <c r="MC71" s="25"/>
      <c r="MD71" s="25"/>
      <c r="ME71" s="25"/>
      <c r="MF71" s="25"/>
      <c r="MG71" s="25"/>
      <c r="MH71" s="25"/>
      <c r="MI71" s="25"/>
      <c r="MJ71" s="25"/>
      <c r="MK71" s="25"/>
      <c r="ML71" s="25"/>
      <c r="MM71" s="25"/>
      <c r="MN71" s="25"/>
      <c r="MO71" s="25"/>
      <c r="MP71" s="25"/>
      <c r="MQ71" s="25"/>
      <c r="MR71" s="25"/>
      <c r="MS71" s="25"/>
      <c r="MT71" s="25"/>
      <c r="MU71" s="25"/>
      <c r="MV71" s="25"/>
      <c r="MW71" s="25"/>
      <c r="MX71" s="25"/>
      <c r="MY71" s="25"/>
      <c r="MZ71" s="25"/>
      <c r="NA71" s="25"/>
      <c r="NB71" s="25"/>
      <c r="NC71" s="25"/>
      <c r="ND71" s="25"/>
      <c r="NE71" s="33"/>
      <c r="OG71" s="18">
        <v>1</v>
      </c>
      <c r="OH71" s="18">
        <v>43196</v>
      </c>
      <c r="OI71" s="18">
        <v>43248</v>
      </c>
      <c r="PJ71" s="20" t="s">
        <v>11</v>
      </c>
      <c r="PK71" s="20">
        <v>106</v>
      </c>
    </row>
    <row r="72" spans="1:427" ht="0.75" customHeight="1" x14ac:dyDescent="0.2">
      <c r="A72" s="28"/>
      <c r="B72" s="22"/>
      <c r="C72" s="22"/>
      <c r="D72" s="44"/>
      <c r="E72" s="23"/>
      <c r="F72" s="24" t="s">
        <v>10</v>
      </c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  <c r="EX72" s="25"/>
      <c r="EY72" s="25"/>
      <c r="EZ72" s="25"/>
      <c r="FA72" s="25"/>
      <c r="FB72" s="25"/>
      <c r="FC72" s="25"/>
      <c r="FD72" s="25"/>
      <c r="FE72" s="25"/>
      <c r="FF72" s="25"/>
      <c r="FG72" s="25"/>
      <c r="FH72" s="25"/>
      <c r="FI72" s="25"/>
      <c r="FJ72" s="25"/>
      <c r="FK72" s="25"/>
      <c r="FL72" s="25"/>
      <c r="FM72" s="25"/>
      <c r="FN72" s="25"/>
      <c r="FO72" s="25"/>
      <c r="FP72" s="25"/>
      <c r="FQ72" s="25"/>
      <c r="FR72" s="25"/>
      <c r="FS72" s="25"/>
      <c r="FT72" s="25"/>
      <c r="FU72" s="25"/>
      <c r="FV72" s="25"/>
      <c r="FW72" s="25"/>
      <c r="FX72" s="25"/>
      <c r="FY72" s="25"/>
      <c r="FZ72" s="25"/>
      <c r="GA72" s="25"/>
      <c r="GB72" s="25"/>
      <c r="GC72" s="25"/>
      <c r="GD72" s="25"/>
      <c r="GE72" s="25"/>
      <c r="GF72" s="25"/>
      <c r="GG72" s="25"/>
      <c r="GH72" s="25"/>
      <c r="GI72" s="25"/>
      <c r="GJ72" s="25"/>
      <c r="GK72" s="25"/>
      <c r="GL72" s="25"/>
      <c r="GM72" s="25"/>
      <c r="GN72" s="25"/>
      <c r="GO72" s="25"/>
      <c r="GP72" s="25"/>
      <c r="GQ72" s="25"/>
      <c r="GR72" s="25"/>
      <c r="GS72" s="25"/>
      <c r="GT72" s="25"/>
      <c r="GU72" s="25"/>
      <c r="GV72" s="25"/>
      <c r="GW72" s="25"/>
      <c r="GX72" s="25"/>
      <c r="GY72" s="25"/>
      <c r="GZ72" s="25"/>
      <c r="HA72" s="25"/>
      <c r="HB72" s="25"/>
      <c r="HC72" s="25"/>
      <c r="HD72" s="25"/>
      <c r="HE72" s="25"/>
      <c r="HF72" s="25"/>
      <c r="HG72" s="25"/>
      <c r="HH72" s="25"/>
      <c r="HI72" s="25"/>
      <c r="HJ72" s="25"/>
      <c r="HK72" s="25"/>
      <c r="HL72" s="25"/>
      <c r="HM72" s="25"/>
      <c r="HN72" s="25"/>
      <c r="HO72" s="25"/>
      <c r="HP72" s="25"/>
      <c r="HQ72" s="25"/>
      <c r="HR72" s="25"/>
      <c r="HS72" s="25"/>
      <c r="HT72" s="25"/>
      <c r="HU72" s="25"/>
      <c r="HV72" s="25"/>
      <c r="HW72" s="25"/>
      <c r="HX72" s="25"/>
      <c r="HY72" s="25"/>
      <c r="HZ72" s="25"/>
      <c r="IA72" s="25"/>
      <c r="IB72" s="25"/>
      <c r="IC72" s="25"/>
      <c r="ID72" s="25"/>
      <c r="IE72" s="25"/>
      <c r="IF72" s="25"/>
      <c r="IG72" s="25"/>
      <c r="IH72" s="25"/>
      <c r="II72" s="25"/>
      <c r="IJ72" s="25"/>
      <c r="IK72" s="25"/>
      <c r="IL72" s="25"/>
      <c r="IM72" s="25"/>
      <c r="IN72" s="25"/>
      <c r="IO72" s="25"/>
      <c r="IP72" s="25"/>
      <c r="IQ72" s="25"/>
      <c r="IR72" s="25"/>
      <c r="IS72" s="25"/>
      <c r="IT72" s="25"/>
      <c r="IU72" s="25"/>
      <c r="IV72" s="25"/>
      <c r="IW72" s="25"/>
      <c r="IX72" s="25"/>
      <c r="IY72" s="25"/>
      <c r="IZ72" s="25"/>
      <c r="JA72" s="25"/>
      <c r="JB72" s="25"/>
      <c r="JC72" s="25"/>
      <c r="JD72" s="25"/>
      <c r="JE72" s="25"/>
      <c r="JF72" s="25"/>
      <c r="JG72" s="25"/>
      <c r="JH72" s="25"/>
      <c r="JI72" s="25"/>
      <c r="JJ72" s="25"/>
      <c r="JK72" s="25"/>
      <c r="JL72" s="25"/>
      <c r="JM72" s="25"/>
      <c r="JN72" s="25"/>
      <c r="JO72" s="25"/>
      <c r="JP72" s="25"/>
      <c r="JQ72" s="25"/>
      <c r="JR72" s="25"/>
      <c r="JS72" s="25"/>
      <c r="JT72" s="25"/>
      <c r="JU72" s="25"/>
      <c r="JV72" s="25"/>
      <c r="JW72" s="25"/>
      <c r="JX72" s="25"/>
      <c r="JY72" s="25"/>
      <c r="JZ72" s="25"/>
      <c r="KA72" s="25"/>
      <c r="KB72" s="25"/>
      <c r="KC72" s="25"/>
      <c r="KD72" s="25"/>
      <c r="KE72" s="25"/>
      <c r="KF72" s="25"/>
      <c r="KG72" s="25"/>
      <c r="KH72" s="25"/>
      <c r="KI72" s="25"/>
      <c r="KJ72" s="25"/>
      <c r="KK72" s="25"/>
      <c r="KL72" s="25"/>
      <c r="KM72" s="25"/>
      <c r="KN72" s="25"/>
      <c r="KO72" s="25"/>
      <c r="KP72" s="25"/>
      <c r="KQ72" s="25"/>
      <c r="KR72" s="25"/>
      <c r="KS72" s="25"/>
      <c r="KT72" s="25"/>
      <c r="KU72" s="25"/>
      <c r="KV72" s="25"/>
      <c r="KW72" s="25"/>
      <c r="KX72" s="25"/>
      <c r="KY72" s="25"/>
      <c r="KZ72" s="25"/>
      <c r="LA72" s="25"/>
      <c r="LB72" s="25"/>
      <c r="LC72" s="25"/>
      <c r="LD72" s="25"/>
      <c r="LE72" s="25"/>
      <c r="LF72" s="25"/>
      <c r="LG72" s="25"/>
      <c r="LH72" s="25"/>
      <c r="LI72" s="25"/>
      <c r="LJ72" s="25"/>
      <c r="LK72" s="25"/>
      <c r="LL72" s="25"/>
      <c r="LM72" s="25"/>
      <c r="LN72" s="25"/>
      <c r="LO72" s="25"/>
      <c r="LP72" s="25"/>
      <c r="LQ72" s="25"/>
      <c r="LR72" s="25"/>
      <c r="LS72" s="25"/>
      <c r="LT72" s="25"/>
      <c r="LU72" s="25"/>
      <c r="LV72" s="25"/>
      <c r="LW72" s="25"/>
      <c r="LX72" s="25"/>
      <c r="LY72" s="25"/>
      <c r="LZ72" s="25"/>
      <c r="MA72" s="25"/>
      <c r="MB72" s="25"/>
      <c r="MC72" s="25"/>
      <c r="MD72" s="25"/>
      <c r="ME72" s="25"/>
      <c r="MF72" s="25"/>
      <c r="MG72" s="25"/>
      <c r="MH72" s="25"/>
      <c r="MI72" s="25"/>
      <c r="MJ72" s="25"/>
      <c r="MK72" s="25"/>
      <c r="ML72" s="25"/>
      <c r="MM72" s="25"/>
      <c r="MN72" s="25"/>
      <c r="MO72" s="25"/>
      <c r="MP72" s="25"/>
      <c r="MQ72" s="25"/>
      <c r="MR72" s="25"/>
      <c r="MS72" s="25"/>
      <c r="MT72" s="25"/>
      <c r="MU72" s="25"/>
      <c r="MV72" s="25"/>
      <c r="MW72" s="25"/>
      <c r="MX72" s="25"/>
      <c r="MY72" s="25"/>
      <c r="MZ72" s="25"/>
      <c r="NA72" s="25"/>
      <c r="NB72" s="25"/>
      <c r="NC72" s="25"/>
      <c r="ND72" s="25"/>
      <c r="NE72" s="33"/>
    </row>
    <row r="73" spans="1:427" ht="13.5" customHeight="1" x14ac:dyDescent="0.2">
      <c r="A73" s="28" t="s">
        <v>78</v>
      </c>
      <c r="B73" s="41" t="s">
        <v>73</v>
      </c>
      <c r="C73" s="26" t="s">
        <v>72</v>
      </c>
      <c r="D73" s="44">
        <v>4</v>
      </c>
      <c r="E73" s="23" t="s">
        <v>71</v>
      </c>
      <c r="F73" s="24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49" t="s">
        <v>89</v>
      </c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  <c r="EX73" s="25"/>
      <c r="EY73" s="25"/>
      <c r="EZ73" s="25"/>
      <c r="FA73" s="25"/>
      <c r="FB73" s="25"/>
      <c r="FC73" s="25"/>
      <c r="FD73" s="25"/>
      <c r="FE73" s="25"/>
      <c r="FF73" s="25"/>
      <c r="FG73" s="25"/>
      <c r="FH73" s="25"/>
      <c r="FI73" s="25"/>
      <c r="FJ73" s="25"/>
      <c r="FK73" s="25"/>
      <c r="FL73" s="25"/>
      <c r="FM73" s="25"/>
      <c r="FN73" s="25"/>
      <c r="FO73" s="25"/>
      <c r="FP73" s="25"/>
      <c r="FQ73" s="25"/>
      <c r="FR73" s="25"/>
      <c r="FS73" s="25"/>
      <c r="FT73" s="25"/>
      <c r="FU73" s="25"/>
      <c r="FV73" s="25"/>
      <c r="FW73" s="25"/>
      <c r="FX73" s="25"/>
      <c r="FY73" s="25"/>
      <c r="FZ73" s="25"/>
      <c r="GA73" s="25"/>
      <c r="GB73" s="25"/>
      <c r="GC73" s="25"/>
      <c r="GD73" s="25"/>
      <c r="GE73" s="25"/>
      <c r="GF73" s="25"/>
      <c r="GG73" s="25"/>
      <c r="GH73" s="25"/>
      <c r="GI73" s="25"/>
      <c r="GJ73" s="25"/>
      <c r="GK73" s="25"/>
      <c r="GL73" s="25"/>
      <c r="GM73" s="25"/>
      <c r="GN73" s="25"/>
      <c r="GO73" s="25"/>
      <c r="GP73" s="25"/>
      <c r="GQ73" s="25"/>
      <c r="GR73" s="25"/>
      <c r="GS73" s="25"/>
      <c r="GT73" s="25"/>
      <c r="GU73" s="25"/>
      <c r="GV73" s="25"/>
      <c r="GW73" s="25"/>
      <c r="GX73" s="25"/>
      <c r="GY73" s="25"/>
      <c r="GZ73" s="25"/>
      <c r="HA73" s="25"/>
      <c r="HB73" s="25"/>
      <c r="HC73" s="25"/>
      <c r="HD73" s="25"/>
      <c r="HE73" s="25"/>
      <c r="HF73" s="25"/>
      <c r="HG73" s="25"/>
      <c r="HH73" s="25"/>
      <c r="HI73" s="25"/>
      <c r="HJ73" s="25"/>
      <c r="HK73" s="25"/>
      <c r="HL73" s="25"/>
      <c r="HM73" s="25"/>
      <c r="HN73" s="25"/>
      <c r="HO73" s="25"/>
      <c r="HP73" s="25"/>
      <c r="HQ73" s="25"/>
      <c r="HR73" s="25"/>
      <c r="HS73" s="25"/>
      <c r="HT73" s="25"/>
      <c r="HU73" s="25"/>
      <c r="HV73" s="25"/>
      <c r="HW73" s="25"/>
      <c r="HX73" s="25"/>
      <c r="HY73" s="25"/>
      <c r="HZ73" s="25"/>
      <c r="IA73" s="25"/>
      <c r="IB73" s="25"/>
      <c r="IC73" s="25"/>
      <c r="ID73" s="25"/>
      <c r="IE73" s="25"/>
      <c r="IF73" s="25"/>
      <c r="IG73" s="25"/>
      <c r="IH73" s="25"/>
      <c r="II73" s="25"/>
      <c r="IJ73" s="25"/>
      <c r="IK73" s="25"/>
      <c r="IL73" s="25"/>
      <c r="IM73" s="25"/>
      <c r="IN73" s="25"/>
      <c r="IO73" s="25"/>
      <c r="IP73" s="25"/>
      <c r="IQ73" s="25"/>
      <c r="IR73" s="25"/>
      <c r="IS73" s="25"/>
      <c r="IT73" s="25"/>
      <c r="IU73" s="25"/>
      <c r="IV73" s="25"/>
      <c r="IW73" s="25"/>
      <c r="IX73" s="25"/>
      <c r="IY73" s="25"/>
      <c r="IZ73" s="25"/>
      <c r="JA73" s="25"/>
      <c r="JB73" s="25"/>
      <c r="JC73" s="25"/>
      <c r="JD73" s="25"/>
      <c r="JE73" s="25"/>
      <c r="JF73" s="25"/>
      <c r="JG73" s="25"/>
      <c r="JH73" s="25"/>
      <c r="JI73" s="25"/>
      <c r="JJ73" s="25"/>
      <c r="JK73" s="25"/>
      <c r="JL73" s="25"/>
      <c r="JM73" s="25"/>
      <c r="JN73" s="25"/>
      <c r="JO73" s="25"/>
      <c r="JP73" s="25"/>
      <c r="JQ73" s="25"/>
      <c r="JR73" s="25"/>
      <c r="JS73" s="25"/>
      <c r="JT73" s="25"/>
      <c r="JU73" s="25"/>
      <c r="JV73" s="25"/>
      <c r="JW73" s="25"/>
      <c r="JX73" s="25"/>
      <c r="JY73" s="25"/>
      <c r="JZ73" s="25"/>
      <c r="KA73" s="25"/>
      <c r="KB73" s="25"/>
      <c r="KC73" s="25"/>
      <c r="KD73" s="25"/>
      <c r="KE73" s="25"/>
      <c r="KF73" s="25"/>
      <c r="KG73" s="25"/>
      <c r="KH73" s="25"/>
      <c r="KI73" s="25"/>
      <c r="KJ73" s="25"/>
      <c r="KK73" s="25"/>
      <c r="KL73" s="25"/>
      <c r="KM73" s="25"/>
      <c r="KN73" s="25"/>
      <c r="KO73" s="25"/>
      <c r="KP73" s="25"/>
      <c r="KQ73" s="25"/>
      <c r="KR73" s="25"/>
      <c r="KS73" s="25"/>
      <c r="KT73" s="25"/>
      <c r="KU73" s="25"/>
      <c r="KV73" s="25"/>
      <c r="KW73" s="25"/>
      <c r="KX73" s="25"/>
      <c r="KY73" s="25"/>
      <c r="KZ73" s="25"/>
      <c r="LA73" s="25"/>
      <c r="LB73" s="25"/>
      <c r="LC73" s="25"/>
      <c r="LD73" s="25"/>
      <c r="LE73" s="25"/>
      <c r="LF73" s="25"/>
      <c r="LG73" s="25"/>
      <c r="LH73" s="25"/>
      <c r="LI73" s="25"/>
      <c r="LJ73" s="25"/>
      <c r="LK73" s="25"/>
      <c r="LL73" s="25"/>
      <c r="LM73" s="25"/>
      <c r="LN73" s="25"/>
      <c r="LO73" s="25"/>
      <c r="LP73" s="25"/>
      <c r="LQ73" s="25"/>
      <c r="LR73" s="25"/>
      <c r="LS73" s="25"/>
      <c r="LT73" s="25"/>
      <c r="LU73" s="25"/>
      <c r="LV73" s="25"/>
      <c r="LW73" s="25"/>
      <c r="LX73" s="25"/>
      <c r="LY73" s="25"/>
      <c r="LZ73" s="25"/>
      <c r="MA73" s="25"/>
      <c r="MB73" s="25"/>
      <c r="MC73" s="25"/>
      <c r="MD73" s="25"/>
      <c r="ME73" s="25"/>
      <c r="MF73" s="25"/>
      <c r="MG73" s="25"/>
      <c r="MH73" s="25"/>
      <c r="MI73" s="25"/>
      <c r="MJ73" s="25"/>
      <c r="MK73" s="25"/>
      <c r="ML73" s="25"/>
      <c r="MM73" s="25"/>
      <c r="MN73" s="25"/>
      <c r="MO73" s="25"/>
      <c r="MP73" s="25"/>
      <c r="MQ73" s="25"/>
      <c r="MR73" s="25"/>
      <c r="MS73" s="25"/>
      <c r="MT73" s="25"/>
      <c r="MU73" s="25"/>
      <c r="MV73" s="25"/>
      <c r="MW73" s="25"/>
      <c r="MX73" s="25"/>
      <c r="MY73" s="25"/>
      <c r="MZ73" s="25"/>
      <c r="NA73" s="25"/>
      <c r="NB73" s="25"/>
      <c r="NC73" s="25"/>
      <c r="ND73" s="25"/>
      <c r="NE73" s="33"/>
      <c r="OG73" s="18">
        <v>1</v>
      </c>
      <c r="OH73" s="18">
        <v>43336</v>
      </c>
      <c r="OI73" s="18">
        <v>43388</v>
      </c>
      <c r="PJ73" s="20" t="s">
        <v>11</v>
      </c>
      <c r="PK73" s="20">
        <v>106</v>
      </c>
    </row>
    <row r="74" spans="1:427" ht="0.75" customHeight="1" x14ac:dyDescent="0.2">
      <c r="A74" s="28" t="s">
        <v>74</v>
      </c>
      <c r="B74" s="22"/>
      <c r="C74" s="22"/>
      <c r="D74" s="44"/>
      <c r="E74" s="23"/>
      <c r="F74" s="24" t="s">
        <v>10</v>
      </c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  <c r="EX74" s="25"/>
      <c r="EY74" s="25"/>
      <c r="EZ74" s="25"/>
      <c r="FA74" s="25"/>
      <c r="FB74" s="25"/>
      <c r="FC74" s="25"/>
      <c r="FD74" s="25"/>
      <c r="FE74" s="25"/>
      <c r="FF74" s="25"/>
      <c r="FG74" s="25"/>
      <c r="FH74" s="25"/>
      <c r="FI74" s="25"/>
      <c r="FJ74" s="25"/>
      <c r="FK74" s="25"/>
      <c r="FL74" s="25"/>
      <c r="FM74" s="25"/>
      <c r="FN74" s="25"/>
      <c r="FO74" s="25"/>
      <c r="FP74" s="25"/>
      <c r="FQ74" s="25"/>
      <c r="FR74" s="25"/>
      <c r="FS74" s="25"/>
      <c r="FT74" s="25"/>
      <c r="FU74" s="25"/>
      <c r="FV74" s="25"/>
      <c r="FW74" s="25"/>
      <c r="FX74" s="25"/>
      <c r="FY74" s="25"/>
      <c r="FZ74" s="25"/>
      <c r="GA74" s="25"/>
      <c r="GB74" s="25"/>
      <c r="GC74" s="25"/>
      <c r="GD74" s="25"/>
      <c r="GE74" s="25"/>
      <c r="GF74" s="25"/>
      <c r="GG74" s="25"/>
      <c r="GH74" s="25"/>
      <c r="GI74" s="25"/>
      <c r="GJ74" s="25"/>
      <c r="GK74" s="25"/>
      <c r="GL74" s="25"/>
      <c r="GM74" s="25"/>
      <c r="GN74" s="25"/>
      <c r="GO74" s="25"/>
      <c r="GP74" s="25"/>
      <c r="GQ74" s="25"/>
      <c r="GR74" s="25"/>
      <c r="GS74" s="25"/>
      <c r="GT74" s="25"/>
      <c r="GU74" s="25"/>
      <c r="GV74" s="25"/>
      <c r="GW74" s="25"/>
      <c r="GX74" s="25"/>
      <c r="GY74" s="25"/>
      <c r="GZ74" s="25"/>
      <c r="HA74" s="25"/>
      <c r="HB74" s="25"/>
      <c r="HC74" s="25"/>
      <c r="HD74" s="25"/>
      <c r="HE74" s="25"/>
      <c r="HF74" s="25"/>
      <c r="HG74" s="25"/>
      <c r="HH74" s="25"/>
      <c r="HI74" s="25"/>
      <c r="HJ74" s="25"/>
      <c r="HK74" s="25"/>
      <c r="HL74" s="25"/>
      <c r="HM74" s="25"/>
      <c r="HN74" s="25"/>
      <c r="HO74" s="25"/>
      <c r="HP74" s="25"/>
      <c r="HQ74" s="25"/>
      <c r="HR74" s="25"/>
      <c r="HS74" s="25"/>
      <c r="HT74" s="25"/>
      <c r="HU74" s="25"/>
      <c r="HV74" s="25"/>
      <c r="HW74" s="25"/>
      <c r="HX74" s="25"/>
      <c r="HY74" s="25"/>
      <c r="HZ74" s="25"/>
      <c r="IA74" s="25"/>
      <c r="IB74" s="25"/>
      <c r="IC74" s="25"/>
      <c r="ID74" s="25"/>
      <c r="IE74" s="25"/>
      <c r="IF74" s="25"/>
      <c r="IG74" s="25"/>
      <c r="IH74" s="25"/>
      <c r="II74" s="25"/>
      <c r="IJ74" s="25"/>
      <c r="IK74" s="25"/>
      <c r="IL74" s="25"/>
      <c r="IM74" s="25"/>
      <c r="IN74" s="25"/>
      <c r="IO74" s="25"/>
      <c r="IP74" s="25"/>
      <c r="IQ74" s="25"/>
      <c r="IR74" s="25"/>
      <c r="IS74" s="25"/>
      <c r="IT74" s="25"/>
      <c r="IU74" s="25"/>
      <c r="IV74" s="25"/>
      <c r="IW74" s="25"/>
      <c r="IX74" s="25"/>
      <c r="IY74" s="25"/>
      <c r="IZ74" s="25"/>
      <c r="JA74" s="25"/>
      <c r="JB74" s="25"/>
      <c r="JC74" s="25"/>
      <c r="JD74" s="25"/>
      <c r="JE74" s="25"/>
      <c r="JF74" s="25"/>
      <c r="JG74" s="25"/>
      <c r="JH74" s="25"/>
      <c r="JI74" s="25"/>
      <c r="JJ74" s="25"/>
      <c r="JK74" s="25"/>
      <c r="JL74" s="25"/>
      <c r="JM74" s="25"/>
      <c r="JN74" s="25"/>
      <c r="JO74" s="25"/>
      <c r="JP74" s="25"/>
      <c r="JQ74" s="25"/>
      <c r="JR74" s="25"/>
      <c r="JS74" s="25"/>
      <c r="JT74" s="25"/>
      <c r="JU74" s="25"/>
      <c r="JV74" s="25"/>
      <c r="JW74" s="25"/>
      <c r="JX74" s="25"/>
      <c r="JY74" s="25"/>
      <c r="JZ74" s="25"/>
      <c r="KA74" s="25"/>
      <c r="KB74" s="25"/>
      <c r="KC74" s="25"/>
      <c r="KD74" s="25"/>
      <c r="KE74" s="25"/>
      <c r="KF74" s="25"/>
      <c r="KG74" s="25"/>
      <c r="KH74" s="25"/>
      <c r="KI74" s="25"/>
      <c r="KJ74" s="25"/>
      <c r="KK74" s="25"/>
      <c r="KL74" s="25"/>
      <c r="KM74" s="25"/>
      <c r="KN74" s="25"/>
      <c r="KO74" s="25"/>
      <c r="KP74" s="25"/>
      <c r="KQ74" s="25"/>
      <c r="KR74" s="25"/>
      <c r="KS74" s="25"/>
      <c r="KT74" s="25"/>
      <c r="KU74" s="25"/>
      <c r="KV74" s="25"/>
      <c r="KW74" s="25"/>
      <c r="KX74" s="25"/>
      <c r="KY74" s="25"/>
      <c r="KZ74" s="25"/>
      <c r="LA74" s="25"/>
      <c r="LB74" s="25"/>
      <c r="LC74" s="25"/>
      <c r="LD74" s="25"/>
      <c r="LE74" s="25"/>
      <c r="LF74" s="25"/>
      <c r="LG74" s="25"/>
      <c r="LH74" s="25"/>
      <c r="LI74" s="25"/>
      <c r="LJ74" s="25"/>
      <c r="LK74" s="25"/>
      <c r="LL74" s="25"/>
      <c r="LM74" s="25"/>
      <c r="LN74" s="25"/>
      <c r="LO74" s="25"/>
      <c r="LP74" s="25"/>
      <c r="LQ74" s="25"/>
      <c r="LR74" s="25"/>
      <c r="LS74" s="25"/>
      <c r="LT74" s="25"/>
      <c r="LU74" s="25"/>
      <c r="LV74" s="25"/>
      <c r="LW74" s="25"/>
      <c r="LX74" s="25"/>
      <c r="LY74" s="25"/>
      <c r="LZ74" s="25"/>
      <c r="MA74" s="25"/>
      <c r="MB74" s="25"/>
      <c r="MC74" s="25"/>
      <c r="MD74" s="25"/>
      <c r="ME74" s="25"/>
      <c r="MF74" s="25"/>
      <c r="MG74" s="25"/>
      <c r="MH74" s="25"/>
      <c r="MI74" s="25"/>
      <c r="MJ74" s="25"/>
      <c r="MK74" s="25"/>
      <c r="ML74" s="25"/>
      <c r="MM74" s="25"/>
      <c r="MN74" s="25"/>
      <c r="MO74" s="25"/>
      <c r="MP74" s="25"/>
      <c r="MQ74" s="25"/>
      <c r="MR74" s="25"/>
      <c r="MS74" s="25"/>
      <c r="MT74" s="25"/>
      <c r="MU74" s="25"/>
      <c r="MV74" s="25"/>
      <c r="MW74" s="25"/>
      <c r="MX74" s="25"/>
      <c r="MY74" s="25"/>
      <c r="MZ74" s="25"/>
      <c r="NA74" s="25"/>
      <c r="NB74" s="25"/>
      <c r="NC74" s="25"/>
      <c r="ND74" s="25"/>
      <c r="NE74" s="33"/>
    </row>
    <row r="75" spans="1:427" ht="13.5" customHeight="1" x14ac:dyDescent="0.2">
      <c r="A75" s="28" t="s">
        <v>74</v>
      </c>
      <c r="B75" s="22" t="s">
        <v>76</v>
      </c>
      <c r="C75" s="26"/>
      <c r="D75" s="44">
        <v>4</v>
      </c>
      <c r="E75" s="23" t="s">
        <v>77</v>
      </c>
      <c r="F75" s="24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  <c r="EX75" s="25"/>
      <c r="EY75" s="25"/>
      <c r="EZ75" s="25"/>
      <c r="FA75" s="25"/>
      <c r="FB75" s="25"/>
      <c r="FC75" s="25"/>
      <c r="FD75" s="25"/>
      <c r="FE75" s="25"/>
      <c r="FF75" s="25"/>
      <c r="FG75" s="25"/>
      <c r="FH75" s="25"/>
      <c r="FI75" s="25"/>
      <c r="FJ75" s="25"/>
      <c r="FK75" s="25"/>
      <c r="FL75" s="25"/>
      <c r="FM75" s="25"/>
      <c r="FN75" s="25"/>
      <c r="FO75" s="25"/>
      <c r="FP75" s="25"/>
      <c r="FQ75" s="25"/>
      <c r="FR75" s="25"/>
      <c r="FS75" s="25"/>
      <c r="FT75" s="25"/>
      <c r="FU75" s="25"/>
      <c r="FV75" s="25"/>
      <c r="FW75" s="25"/>
      <c r="FX75" s="25"/>
      <c r="FY75" s="25"/>
      <c r="FZ75" s="25"/>
      <c r="GA75" s="25"/>
      <c r="GB75" s="25"/>
      <c r="GC75" s="25"/>
      <c r="GD75" s="25"/>
      <c r="GE75" s="25"/>
      <c r="GF75" s="25"/>
      <c r="GG75" s="25"/>
      <c r="GH75" s="25"/>
      <c r="GI75" s="25"/>
      <c r="GJ75" s="25"/>
      <c r="GK75" s="25"/>
      <c r="GL75" s="25"/>
      <c r="GM75" s="25"/>
      <c r="GN75" s="25"/>
      <c r="GO75" s="25"/>
      <c r="GP75" s="25"/>
      <c r="GQ75" s="25"/>
      <c r="GR75" s="25"/>
      <c r="GS75" s="25"/>
      <c r="GT75" s="25"/>
      <c r="GU75" s="25"/>
      <c r="GV75" s="25"/>
      <c r="GW75" s="25"/>
      <c r="GX75" s="25"/>
      <c r="GY75" s="25"/>
      <c r="GZ75" s="25"/>
      <c r="HA75" s="25"/>
      <c r="HB75" s="25"/>
      <c r="HC75" s="25"/>
      <c r="HD75" s="25"/>
      <c r="HE75" s="25"/>
      <c r="HF75" s="25"/>
      <c r="HG75" s="25"/>
      <c r="HH75" s="25"/>
      <c r="HI75" s="25"/>
      <c r="HJ75" s="25"/>
      <c r="HK75" s="25"/>
      <c r="HL75" s="25"/>
      <c r="HM75" s="25"/>
      <c r="HN75" s="25"/>
      <c r="HO75" s="25"/>
      <c r="HP75" s="25"/>
      <c r="HQ75" s="25"/>
      <c r="HR75" s="25"/>
      <c r="HS75" s="25"/>
      <c r="HT75" s="25"/>
      <c r="HU75" s="25"/>
      <c r="HV75" s="25"/>
      <c r="HW75" s="25"/>
      <c r="HX75" s="25"/>
      <c r="HY75" s="25"/>
      <c r="HZ75" s="25"/>
      <c r="IA75" s="25"/>
      <c r="IB75" s="25"/>
      <c r="IC75" s="25"/>
      <c r="ID75" s="25"/>
      <c r="IE75" s="25"/>
      <c r="IF75" s="25"/>
      <c r="IG75" s="25"/>
      <c r="IH75" s="25"/>
      <c r="II75" s="25"/>
      <c r="IJ75" s="25"/>
      <c r="IK75" s="25"/>
      <c r="IL75" s="25"/>
      <c r="IM75" s="25"/>
      <c r="IN75" s="25"/>
      <c r="IO75" s="25"/>
      <c r="IP75" s="25"/>
      <c r="IQ75" s="25"/>
      <c r="IR75" s="25"/>
      <c r="IS75" s="25"/>
      <c r="IT75" s="25"/>
      <c r="IU75" s="25"/>
      <c r="IV75" s="25"/>
      <c r="IW75" s="25"/>
      <c r="IX75" s="25"/>
      <c r="IY75" s="25"/>
      <c r="IZ75" s="25"/>
      <c r="JA75" s="25"/>
      <c r="JB75" s="25"/>
      <c r="JC75" s="25"/>
      <c r="JD75" s="25"/>
      <c r="JE75" s="25"/>
      <c r="JF75" s="25"/>
      <c r="JG75" s="25"/>
      <c r="JH75" s="25"/>
      <c r="JI75" s="25"/>
      <c r="JJ75" s="25"/>
      <c r="JK75" s="25"/>
      <c r="JL75" s="25"/>
      <c r="JM75" s="25"/>
      <c r="JN75" s="25"/>
      <c r="JO75" s="25"/>
      <c r="JP75" s="25"/>
      <c r="JQ75" s="25"/>
      <c r="JR75" s="25"/>
      <c r="JS75" s="25"/>
      <c r="JT75" s="25"/>
      <c r="JU75" s="25"/>
      <c r="JV75" s="25"/>
      <c r="JW75" s="25"/>
      <c r="JX75" s="25"/>
      <c r="JY75" s="25"/>
      <c r="JZ75" s="25"/>
      <c r="KA75" s="25"/>
      <c r="KB75" s="25"/>
      <c r="KC75" s="25"/>
      <c r="KD75" s="25"/>
      <c r="KE75" s="25"/>
      <c r="KF75" s="25"/>
      <c r="KG75" s="25"/>
      <c r="KH75" s="25"/>
      <c r="KI75" s="25"/>
      <c r="KJ75" s="25"/>
      <c r="KK75" s="25"/>
      <c r="KL75" s="25"/>
      <c r="KM75" s="25"/>
      <c r="KN75" s="25"/>
      <c r="KO75" s="25"/>
      <c r="KP75" s="25"/>
      <c r="KQ75" s="25"/>
      <c r="KR75" s="25"/>
      <c r="KS75" s="25"/>
      <c r="KT75" s="25"/>
      <c r="KU75" s="25"/>
      <c r="KV75" s="25"/>
      <c r="KW75" s="25"/>
      <c r="KX75" s="25"/>
      <c r="KY75" s="25"/>
      <c r="KZ75" s="25"/>
      <c r="LA75" s="25"/>
      <c r="LB75" s="25"/>
      <c r="LC75" s="25"/>
      <c r="LD75" s="25"/>
      <c r="LE75" s="25"/>
      <c r="LF75" s="25"/>
      <c r="LG75" s="25"/>
      <c r="LH75" s="25"/>
      <c r="LI75" s="25"/>
      <c r="LJ75" s="25"/>
      <c r="LK75" s="25"/>
      <c r="LL75" s="25"/>
      <c r="LM75" s="25"/>
      <c r="LN75" s="25"/>
      <c r="LO75" s="25"/>
      <c r="LP75" s="25"/>
      <c r="LQ75" s="25"/>
      <c r="LR75" s="25"/>
      <c r="LS75" s="25"/>
      <c r="LT75" s="25"/>
      <c r="LU75" s="25"/>
      <c r="LV75" s="25"/>
      <c r="LW75" s="25"/>
      <c r="LX75" s="25"/>
      <c r="LY75" s="25"/>
      <c r="LZ75" s="25"/>
      <c r="MA75" s="25"/>
      <c r="MB75" s="25"/>
      <c r="MC75" s="25"/>
      <c r="MD75" s="25"/>
      <c r="ME75" s="25"/>
      <c r="MF75" s="25"/>
      <c r="MG75" s="25"/>
      <c r="MH75" s="25"/>
      <c r="MI75" s="25"/>
      <c r="MJ75" s="25"/>
      <c r="MK75" s="25"/>
      <c r="ML75" s="25"/>
      <c r="MM75" s="25"/>
      <c r="MN75" s="25"/>
      <c r="MO75" s="25"/>
      <c r="MP75" s="25"/>
      <c r="MQ75" s="25"/>
      <c r="MR75" s="25"/>
      <c r="MS75" s="25"/>
      <c r="MT75" s="25"/>
      <c r="MU75" s="25"/>
      <c r="MV75" s="25"/>
      <c r="MW75" s="25"/>
      <c r="MX75" s="25"/>
      <c r="MY75" s="25"/>
      <c r="MZ75" s="25"/>
      <c r="NA75" s="25"/>
      <c r="NB75" s="25"/>
      <c r="NC75" s="25"/>
      <c r="ND75" s="25"/>
      <c r="NE75" s="33"/>
      <c r="OG75" s="18">
        <v>1</v>
      </c>
      <c r="OH75" s="18">
        <v>43196</v>
      </c>
      <c r="OI75" s="18">
        <v>43248</v>
      </c>
      <c r="PJ75" s="20" t="s">
        <v>11</v>
      </c>
      <c r="PK75" s="20">
        <v>106</v>
      </c>
    </row>
    <row r="76" spans="1:427" ht="0.75" customHeight="1" x14ac:dyDescent="0.2">
      <c r="A76" s="28"/>
      <c r="B76" s="22"/>
      <c r="C76" s="22"/>
      <c r="D76" s="44"/>
      <c r="E76" s="23"/>
      <c r="F76" s="24" t="s">
        <v>10</v>
      </c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  <c r="EX76" s="25"/>
      <c r="EY76" s="25"/>
      <c r="EZ76" s="25"/>
      <c r="FA76" s="25"/>
      <c r="FB76" s="25"/>
      <c r="FC76" s="25"/>
      <c r="FD76" s="25"/>
      <c r="FE76" s="25"/>
      <c r="FF76" s="25"/>
      <c r="FG76" s="25"/>
      <c r="FH76" s="25"/>
      <c r="FI76" s="25"/>
      <c r="FJ76" s="25"/>
      <c r="FK76" s="25"/>
      <c r="FL76" s="25"/>
      <c r="FM76" s="25"/>
      <c r="FN76" s="25"/>
      <c r="FO76" s="25"/>
      <c r="FP76" s="25"/>
      <c r="FQ76" s="25"/>
      <c r="FR76" s="25"/>
      <c r="FS76" s="25"/>
      <c r="FT76" s="25"/>
      <c r="FU76" s="25"/>
      <c r="FV76" s="25"/>
      <c r="FW76" s="25"/>
      <c r="FX76" s="25"/>
      <c r="FY76" s="25"/>
      <c r="FZ76" s="25"/>
      <c r="GA76" s="25"/>
      <c r="GB76" s="25"/>
      <c r="GC76" s="25"/>
      <c r="GD76" s="25"/>
      <c r="GE76" s="25"/>
      <c r="GF76" s="25"/>
      <c r="GG76" s="25"/>
      <c r="GH76" s="25"/>
      <c r="GI76" s="25"/>
      <c r="GJ76" s="25"/>
      <c r="GK76" s="25"/>
      <c r="GL76" s="25"/>
      <c r="GM76" s="25"/>
      <c r="GN76" s="25"/>
      <c r="GO76" s="25"/>
      <c r="GP76" s="25"/>
      <c r="GQ76" s="25"/>
      <c r="GR76" s="25"/>
      <c r="GS76" s="25"/>
      <c r="GT76" s="25"/>
      <c r="GU76" s="25"/>
      <c r="GV76" s="25"/>
      <c r="GW76" s="25"/>
      <c r="GX76" s="25"/>
      <c r="GY76" s="25"/>
      <c r="GZ76" s="25"/>
      <c r="HA76" s="25"/>
      <c r="HB76" s="25"/>
      <c r="HC76" s="25"/>
      <c r="HD76" s="25"/>
      <c r="HE76" s="25"/>
      <c r="HF76" s="25"/>
      <c r="HG76" s="25"/>
      <c r="HH76" s="25"/>
      <c r="HI76" s="25"/>
      <c r="HJ76" s="25"/>
      <c r="HK76" s="25"/>
      <c r="HL76" s="25"/>
      <c r="HM76" s="25"/>
      <c r="HN76" s="25"/>
      <c r="HO76" s="25"/>
      <c r="HP76" s="25"/>
      <c r="HQ76" s="25"/>
      <c r="HR76" s="25"/>
      <c r="HS76" s="25"/>
      <c r="HT76" s="25"/>
      <c r="HU76" s="25"/>
      <c r="HV76" s="25"/>
      <c r="HW76" s="25"/>
      <c r="HX76" s="25"/>
      <c r="HY76" s="25"/>
      <c r="HZ76" s="25"/>
      <c r="IA76" s="25"/>
      <c r="IB76" s="25"/>
      <c r="IC76" s="25"/>
      <c r="ID76" s="25"/>
      <c r="IE76" s="25"/>
      <c r="IF76" s="25"/>
      <c r="IG76" s="25"/>
      <c r="IH76" s="25"/>
      <c r="II76" s="25"/>
      <c r="IJ76" s="25"/>
      <c r="IK76" s="25"/>
      <c r="IL76" s="25"/>
      <c r="IM76" s="25"/>
      <c r="IN76" s="25"/>
      <c r="IO76" s="25"/>
      <c r="IP76" s="25"/>
      <c r="IQ76" s="25"/>
      <c r="IR76" s="25"/>
      <c r="IS76" s="25"/>
      <c r="IT76" s="25"/>
      <c r="IU76" s="25"/>
      <c r="IV76" s="25"/>
      <c r="IW76" s="25"/>
      <c r="IX76" s="25"/>
      <c r="IY76" s="25"/>
      <c r="IZ76" s="25"/>
      <c r="JA76" s="25"/>
      <c r="JB76" s="25"/>
      <c r="JC76" s="25"/>
      <c r="JD76" s="25"/>
      <c r="JE76" s="25"/>
      <c r="JF76" s="25"/>
      <c r="JG76" s="25"/>
      <c r="JH76" s="25"/>
      <c r="JI76" s="25"/>
      <c r="JJ76" s="25"/>
      <c r="JK76" s="25"/>
      <c r="JL76" s="25"/>
      <c r="JM76" s="25"/>
      <c r="JN76" s="25"/>
      <c r="JO76" s="25"/>
      <c r="JP76" s="25"/>
      <c r="JQ76" s="25"/>
      <c r="JR76" s="25"/>
      <c r="JS76" s="25"/>
      <c r="JT76" s="25"/>
      <c r="JU76" s="25"/>
      <c r="JV76" s="25"/>
      <c r="JW76" s="25"/>
      <c r="JX76" s="25"/>
      <c r="JY76" s="25"/>
      <c r="JZ76" s="25"/>
      <c r="KA76" s="25"/>
      <c r="KB76" s="25"/>
      <c r="KC76" s="25"/>
      <c r="KD76" s="25"/>
      <c r="KE76" s="25"/>
      <c r="KF76" s="25"/>
      <c r="KG76" s="25"/>
      <c r="KH76" s="25"/>
      <c r="KI76" s="25"/>
      <c r="KJ76" s="25"/>
      <c r="KK76" s="25"/>
      <c r="KL76" s="25"/>
      <c r="KM76" s="25"/>
      <c r="KN76" s="25"/>
      <c r="KO76" s="25"/>
      <c r="KP76" s="25"/>
      <c r="KQ76" s="25"/>
      <c r="KR76" s="25"/>
      <c r="KS76" s="25"/>
      <c r="KT76" s="25"/>
      <c r="KU76" s="25"/>
      <c r="KV76" s="25"/>
      <c r="KW76" s="25"/>
      <c r="KX76" s="25"/>
      <c r="KY76" s="25"/>
      <c r="KZ76" s="25"/>
      <c r="LA76" s="25"/>
      <c r="LB76" s="25"/>
      <c r="LC76" s="25"/>
      <c r="LD76" s="25"/>
      <c r="LE76" s="25"/>
      <c r="LF76" s="25"/>
      <c r="LG76" s="25"/>
      <c r="LH76" s="25"/>
      <c r="LI76" s="25"/>
      <c r="LJ76" s="25"/>
      <c r="LK76" s="25"/>
      <c r="LL76" s="25"/>
      <c r="LM76" s="25"/>
      <c r="LN76" s="25"/>
      <c r="LO76" s="25"/>
      <c r="LP76" s="25"/>
      <c r="LQ76" s="25"/>
      <c r="LR76" s="25"/>
      <c r="LS76" s="25"/>
      <c r="LT76" s="25"/>
      <c r="LU76" s="25"/>
      <c r="LV76" s="25"/>
      <c r="LW76" s="25"/>
      <c r="LX76" s="25"/>
      <c r="LY76" s="25"/>
      <c r="LZ76" s="25"/>
      <c r="MA76" s="25"/>
      <c r="MB76" s="25"/>
      <c r="MC76" s="25"/>
      <c r="MD76" s="25"/>
      <c r="ME76" s="25"/>
      <c r="MF76" s="25"/>
      <c r="MG76" s="25"/>
      <c r="MH76" s="25"/>
      <c r="MI76" s="25"/>
      <c r="MJ76" s="25"/>
      <c r="MK76" s="25"/>
      <c r="ML76" s="25"/>
      <c r="MM76" s="25"/>
      <c r="MN76" s="25"/>
      <c r="MO76" s="25"/>
      <c r="MP76" s="25"/>
      <c r="MQ76" s="25"/>
      <c r="MR76" s="25"/>
      <c r="MS76" s="25"/>
      <c r="MT76" s="25"/>
      <c r="MU76" s="25"/>
      <c r="MV76" s="25"/>
      <c r="MW76" s="25"/>
      <c r="MX76" s="25"/>
      <c r="MY76" s="25"/>
      <c r="MZ76" s="25"/>
      <c r="NA76" s="25"/>
      <c r="NB76" s="25"/>
      <c r="NC76" s="25"/>
      <c r="ND76" s="25"/>
      <c r="NE76" s="33"/>
    </row>
    <row r="77" spans="1:427" ht="13.5" customHeight="1" x14ac:dyDescent="0.2">
      <c r="A77" s="28" t="s">
        <v>74</v>
      </c>
      <c r="B77" s="41" t="s">
        <v>93</v>
      </c>
      <c r="C77" s="26"/>
      <c r="D77" s="44">
        <v>1.5</v>
      </c>
      <c r="E77" s="23" t="s">
        <v>83</v>
      </c>
      <c r="F77" s="24"/>
      <c r="G77" s="25"/>
      <c r="H77" s="25"/>
      <c r="I77" s="25"/>
      <c r="J77" s="25"/>
      <c r="K77" s="25"/>
      <c r="L77" s="25"/>
      <c r="M77" s="25"/>
      <c r="N77" s="49" t="s">
        <v>92</v>
      </c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  <c r="EX77" s="25"/>
      <c r="EY77" s="25"/>
      <c r="EZ77" s="25"/>
      <c r="FA77" s="25"/>
      <c r="FB77" s="25"/>
      <c r="FC77" s="25"/>
      <c r="FD77" s="25"/>
      <c r="FE77" s="25"/>
      <c r="FF77" s="25"/>
      <c r="FG77" s="25"/>
      <c r="FH77" s="25"/>
      <c r="FI77" s="25"/>
      <c r="FJ77" s="25"/>
      <c r="FK77" s="25"/>
      <c r="FL77" s="25"/>
      <c r="FM77" s="25"/>
      <c r="FN77" s="25"/>
      <c r="FO77" s="25"/>
      <c r="FP77" s="25"/>
      <c r="FQ77" s="25"/>
      <c r="FR77" s="25"/>
      <c r="FS77" s="25"/>
      <c r="FT77" s="25"/>
      <c r="FU77" s="25"/>
      <c r="FV77" s="25"/>
      <c r="FW77" s="25"/>
      <c r="FX77" s="25"/>
      <c r="FY77" s="25"/>
      <c r="FZ77" s="25"/>
      <c r="GA77" s="25"/>
      <c r="GB77" s="25"/>
      <c r="GC77" s="25"/>
      <c r="GD77" s="25"/>
      <c r="GE77" s="25"/>
      <c r="GF77" s="25"/>
      <c r="GG77" s="25"/>
      <c r="GH77" s="25"/>
      <c r="GI77" s="25"/>
      <c r="GJ77" s="25"/>
      <c r="GK77" s="25"/>
      <c r="GL77" s="25"/>
      <c r="GM77" s="25"/>
      <c r="GN77" s="25"/>
      <c r="GO77" s="25"/>
      <c r="GP77" s="25"/>
      <c r="GQ77" s="25"/>
      <c r="GR77" s="25"/>
      <c r="GS77" s="25"/>
      <c r="GT77" s="25"/>
      <c r="GU77" s="25"/>
      <c r="GV77" s="25"/>
      <c r="GW77" s="25"/>
      <c r="GX77" s="25"/>
      <c r="GY77" s="25"/>
      <c r="GZ77" s="25"/>
      <c r="HA77" s="25"/>
      <c r="HB77" s="25"/>
      <c r="HC77" s="25"/>
      <c r="HD77" s="25"/>
      <c r="HE77" s="25"/>
      <c r="HF77" s="25"/>
      <c r="HG77" s="25"/>
      <c r="HH77" s="25"/>
      <c r="HI77" s="25"/>
      <c r="HJ77" s="25"/>
      <c r="HK77" s="25"/>
      <c r="HL77" s="25"/>
      <c r="HM77" s="25"/>
      <c r="HN77" s="25"/>
      <c r="HO77" s="25"/>
      <c r="HP77" s="25"/>
      <c r="HQ77" s="25"/>
      <c r="HR77" s="25"/>
      <c r="HS77" s="25"/>
      <c r="HT77" s="25"/>
      <c r="HU77" s="25"/>
      <c r="HV77" s="25"/>
      <c r="HW77" s="25"/>
      <c r="HX77" s="25"/>
      <c r="HY77" s="25"/>
      <c r="HZ77" s="25"/>
      <c r="IA77" s="25"/>
      <c r="IB77" s="25"/>
      <c r="IC77" s="25"/>
      <c r="ID77" s="25"/>
      <c r="IE77" s="25"/>
      <c r="IF77" s="25"/>
      <c r="IG77" s="25"/>
      <c r="IH77" s="25"/>
      <c r="II77" s="25"/>
      <c r="IJ77" s="25"/>
      <c r="IK77" s="25"/>
      <c r="IL77" s="25"/>
      <c r="IM77" s="25"/>
      <c r="IN77" s="25"/>
      <c r="IO77" s="25"/>
      <c r="IP77" s="25"/>
      <c r="IQ77" s="25"/>
      <c r="IR77" s="25"/>
      <c r="IS77" s="25"/>
      <c r="IT77" s="25"/>
      <c r="IU77" s="25"/>
      <c r="IV77" s="25"/>
      <c r="IW77" s="25"/>
      <c r="IX77" s="25"/>
      <c r="IY77" s="25"/>
      <c r="IZ77" s="25"/>
      <c r="JA77" s="25"/>
      <c r="JB77" s="25"/>
      <c r="JC77" s="25"/>
      <c r="JD77" s="25"/>
      <c r="JE77" s="25"/>
      <c r="JF77" s="25"/>
      <c r="JG77" s="25"/>
      <c r="JH77" s="25"/>
      <c r="JI77" s="25"/>
      <c r="JJ77" s="25"/>
      <c r="JK77" s="25"/>
      <c r="JL77" s="25"/>
      <c r="JM77" s="25"/>
      <c r="JN77" s="25"/>
      <c r="JO77" s="25"/>
      <c r="JP77" s="25"/>
      <c r="JQ77" s="25"/>
      <c r="JR77" s="25"/>
      <c r="JS77" s="25"/>
      <c r="JT77" s="25"/>
      <c r="JU77" s="25"/>
      <c r="JV77" s="25"/>
      <c r="JW77" s="25"/>
      <c r="JX77" s="25"/>
      <c r="JY77" s="25"/>
      <c r="JZ77" s="25"/>
      <c r="KA77" s="25"/>
      <c r="KB77" s="25"/>
      <c r="KC77" s="25"/>
      <c r="KD77" s="25"/>
      <c r="KE77" s="25"/>
      <c r="KF77" s="25"/>
      <c r="KG77" s="25"/>
      <c r="KH77" s="25"/>
      <c r="KI77" s="25"/>
      <c r="KJ77" s="25"/>
      <c r="KK77" s="25"/>
      <c r="KL77" s="25"/>
      <c r="KM77" s="25"/>
      <c r="KN77" s="25"/>
      <c r="KO77" s="25"/>
      <c r="KP77" s="25"/>
      <c r="KQ77" s="25"/>
      <c r="KR77" s="25"/>
      <c r="KS77" s="25"/>
      <c r="KT77" s="25"/>
      <c r="KU77" s="25"/>
      <c r="KV77" s="25"/>
      <c r="KW77" s="25"/>
      <c r="KX77" s="25"/>
      <c r="KY77" s="25"/>
      <c r="KZ77" s="25"/>
      <c r="LA77" s="25"/>
      <c r="LB77" s="25"/>
      <c r="LC77" s="25"/>
      <c r="LD77" s="25"/>
      <c r="LE77" s="25"/>
      <c r="LF77" s="25"/>
      <c r="LG77" s="25"/>
      <c r="LH77" s="25"/>
      <c r="LI77" s="25"/>
      <c r="LJ77" s="25"/>
      <c r="LK77" s="25"/>
      <c r="LL77" s="25"/>
      <c r="LM77" s="25"/>
      <c r="LN77" s="25"/>
      <c r="LO77" s="25"/>
      <c r="LP77" s="25"/>
      <c r="LQ77" s="25"/>
      <c r="LR77" s="25"/>
      <c r="LS77" s="25"/>
      <c r="LT77" s="25"/>
      <c r="LU77" s="25"/>
      <c r="LV77" s="25"/>
      <c r="LW77" s="25"/>
      <c r="LX77" s="25"/>
      <c r="LY77" s="25"/>
      <c r="LZ77" s="25"/>
      <c r="MA77" s="25"/>
      <c r="MB77" s="25"/>
      <c r="MC77" s="25"/>
      <c r="MD77" s="25"/>
      <c r="ME77" s="25"/>
      <c r="MF77" s="25"/>
      <c r="MG77" s="25"/>
      <c r="MH77" s="25"/>
      <c r="MI77" s="25"/>
      <c r="MJ77" s="25"/>
      <c r="MK77" s="25"/>
      <c r="ML77" s="25"/>
      <c r="MM77" s="25"/>
      <c r="MN77" s="25"/>
      <c r="MO77" s="25"/>
      <c r="MP77" s="25"/>
      <c r="MQ77" s="25"/>
      <c r="MR77" s="25"/>
      <c r="MS77" s="25"/>
      <c r="MT77" s="25"/>
      <c r="MU77" s="25"/>
      <c r="MV77" s="25"/>
      <c r="MW77" s="25"/>
      <c r="MX77" s="25"/>
      <c r="MY77" s="25"/>
      <c r="MZ77" s="25"/>
      <c r="NA77" s="25"/>
      <c r="NB77" s="25"/>
      <c r="NC77" s="25"/>
      <c r="ND77" s="25"/>
      <c r="NE77" s="33"/>
      <c r="OG77" s="18">
        <v>1</v>
      </c>
      <c r="OH77" s="18">
        <v>43336</v>
      </c>
      <c r="OI77" s="18">
        <v>43388</v>
      </c>
      <c r="PJ77" s="20" t="s">
        <v>11</v>
      </c>
      <c r="PK77" s="20">
        <v>106</v>
      </c>
    </row>
    <row r="78" spans="1:427" ht="0.75" customHeight="1" x14ac:dyDescent="0.2">
      <c r="A78" s="28" t="s">
        <v>74</v>
      </c>
      <c r="B78" s="22"/>
      <c r="C78" s="22"/>
      <c r="D78" s="44"/>
      <c r="E78" s="23"/>
      <c r="F78" s="24" t="s">
        <v>10</v>
      </c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  <c r="EX78" s="25"/>
      <c r="EY78" s="25"/>
      <c r="EZ78" s="25"/>
      <c r="FA78" s="25"/>
      <c r="FB78" s="25"/>
      <c r="FC78" s="25"/>
      <c r="FD78" s="25"/>
      <c r="FE78" s="25"/>
      <c r="FF78" s="25"/>
      <c r="FG78" s="25"/>
      <c r="FH78" s="25"/>
      <c r="FI78" s="25"/>
      <c r="FJ78" s="25"/>
      <c r="FK78" s="25"/>
      <c r="FL78" s="25"/>
      <c r="FM78" s="25"/>
      <c r="FN78" s="25"/>
      <c r="FO78" s="25"/>
      <c r="FP78" s="25"/>
      <c r="FQ78" s="25"/>
      <c r="FR78" s="25"/>
      <c r="FS78" s="25"/>
      <c r="FT78" s="25"/>
      <c r="FU78" s="25"/>
      <c r="FV78" s="25"/>
      <c r="FW78" s="25"/>
      <c r="FX78" s="25"/>
      <c r="FY78" s="25"/>
      <c r="FZ78" s="25"/>
      <c r="GA78" s="25"/>
      <c r="GB78" s="25"/>
      <c r="GC78" s="25"/>
      <c r="GD78" s="25"/>
      <c r="GE78" s="25"/>
      <c r="GF78" s="25"/>
      <c r="GG78" s="25"/>
      <c r="GH78" s="25"/>
      <c r="GI78" s="25"/>
      <c r="GJ78" s="25"/>
      <c r="GK78" s="25"/>
      <c r="GL78" s="25"/>
      <c r="GM78" s="25"/>
      <c r="GN78" s="25"/>
      <c r="GO78" s="25"/>
      <c r="GP78" s="25"/>
      <c r="GQ78" s="25"/>
      <c r="GR78" s="25"/>
      <c r="GS78" s="25"/>
      <c r="GT78" s="25"/>
      <c r="GU78" s="25"/>
      <c r="GV78" s="25"/>
      <c r="GW78" s="25"/>
      <c r="GX78" s="25"/>
      <c r="GY78" s="25"/>
      <c r="GZ78" s="25"/>
      <c r="HA78" s="25"/>
      <c r="HB78" s="25"/>
      <c r="HC78" s="25"/>
      <c r="HD78" s="25"/>
      <c r="HE78" s="25"/>
      <c r="HF78" s="25"/>
      <c r="HG78" s="25"/>
      <c r="HH78" s="25"/>
      <c r="HI78" s="25"/>
      <c r="HJ78" s="25"/>
      <c r="HK78" s="25"/>
      <c r="HL78" s="25"/>
      <c r="HM78" s="25"/>
      <c r="HN78" s="25"/>
      <c r="HO78" s="25"/>
      <c r="HP78" s="25"/>
      <c r="HQ78" s="25"/>
      <c r="HR78" s="25"/>
      <c r="HS78" s="25"/>
      <c r="HT78" s="25"/>
      <c r="HU78" s="25"/>
      <c r="HV78" s="25"/>
      <c r="HW78" s="25"/>
      <c r="HX78" s="25"/>
      <c r="HY78" s="25"/>
      <c r="HZ78" s="25"/>
      <c r="IA78" s="25"/>
      <c r="IB78" s="25"/>
      <c r="IC78" s="25"/>
      <c r="ID78" s="25"/>
      <c r="IE78" s="25"/>
      <c r="IF78" s="25"/>
      <c r="IG78" s="25"/>
      <c r="IH78" s="25"/>
      <c r="II78" s="25"/>
      <c r="IJ78" s="25"/>
      <c r="IK78" s="25"/>
      <c r="IL78" s="25"/>
      <c r="IM78" s="25"/>
      <c r="IN78" s="25"/>
      <c r="IO78" s="25"/>
      <c r="IP78" s="25"/>
      <c r="IQ78" s="25"/>
      <c r="IR78" s="25"/>
      <c r="IS78" s="25"/>
      <c r="IT78" s="25"/>
      <c r="IU78" s="25"/>
      <c r="IV78" s="25"/>
      <c r="IW78" s="25"/>
      <c r="IX78" s="25"/>
      <c r="IY78" s="25"/>
      <c r="IZ78" s="25"/>
      <c r="JA78" s="25"/>
      <c r="JB78" s="25"/>
      <c r="JC78" s="25"/>
      <c r="JD78" s="25"/>
      <c r="JE78" s="25"/>
      <c r="JF78" s="25"/>
      <c r="JG78" s="25"/>
      <c r="JH78" s="25"/>
      <c r="JI78" s="25"/>
      <c r="JJ78" s="25"/>
      <c r="JK78" s="25"/>
      <c r="JL78" s="25"/>
      <c r="JM78" s="25"/>
      <c r="JN78" s="25"/>
      <c r="JO78" s="25"/>
      <c r="JP78" s="25"/>
      <c r="JQ78" s="25"/>
      <c r="JR78" s="25"/>
      <c r="JS78" s="25"/>
      <c r="JT78" s="25"/>
      <c r="JU78" s="25"/>
      <c r="JV78" s="25"/>
      <c r="JW78" s="25"/>
      <c r="JX78" s="25"/>
      <c r="JY78" s="25"/>
      <c r="JZ78" s="25"/>
      <c r="KA78" s="25"/>
      <c r="KB78" s="25"/>
      <c r="KC78" s="25"/>
      <c r="KD78" s="25"/>
      <c r="KE78" s="25"/>
      <c r="KF78" s="25"/>
      <c r="KG78" s="25"/>
      <c r="KH78" s="25"/>
      <c r="KI78" s="25"/>
      <c r="KJ78" s="25"/>
      <c r="KK78" s="25"/>
      <c r="KL78" s="25"/>
      <c r="KM78" s="25"/>
      <c r="KN78" s="25"/>
      <c r="KO78" s="25"/>
      <c r="KP78" s="25"/>
      <c r="KQ78" s="25"/>
      <c r="KR78" s="25"/>
      <c r="KS78" s="25"/>
      <c r="KT78" s="25"/>
      <c r="KU78" s="25"/>
      <c r="KV78" s="25"/>
      <c r="KW78" s="25"/>
      <c r="KX78" s="25"/>
      <c r="KY78" s="25"/>
      <c r="KZ78" s="25"/>
      <c r="LA78" s="25"/>
      <c r="LB78" s="25"/>
      <c r="LC78" s="25"/>
      <c r="LD78" s="25"/>
      <c r="LE78" s="25"/>
      <c r="LF78" s="25"/>
      <c r="LG78" s="25"/>
      <c r="LH78" s="25"/>
      <c r="LI78" s="25"/>
      <c r="LJ78" s="25"/>
      <c r="LK78" s="25"/>
      <c r="LL78" s="25"/>
      <c r="LM78" s="25"/>
      <c r="LN78" s="25"/>
      <c r="LO78" s="25"/>
      <c r="LP78" s="25"/>
      <c r="LQ78" s="25"/>
      <c r="LR78" s="25"/>
      <c r="LS78" s="25"/>
      <c r="LT78" s="25"/>
      <c r="LU78" s="25"/>
      <c r="LV78" s="25"/>
      <c r="LW78" s="25"/>
      <c r="LX78" s="25"/>
      <c r="LY78" s="25"/>
      <c r="LZ78" s="25"/>
      <c r="MA78" s="25"/>
      <c r="MB78" s="25"/>
      <c r="MC78" s="25"/>
      <c r="MD78" s="25"/>
      <c r="ME78" s="25"/>
      <c r="MF78" s="25"/>
      <c r="MG78" s="25"/>
      <c r="MH78" s="25"/>
      <c r="MI78" s="25"/>
      <c r="MJ78" s="25"/>
      <c r="MK78" s="25"/>
      <c r="ML78" s="25"/>
      <c r="MM78" s="25"/>
      <c r="MN78" s="25"/>
      <c r="MO78" s="25"/>
      <c r="MP78" s="25"/>
      <c r="MQ78" s="25"/>
      <c r="MR78" s="25"/>
      <c r="MS78" s="25"/>
      <c r="MT78" s="25"/>
      <c r="MU78" s="25"/>
      <c r="MV78" s="25"/>
      <c r="MW78" s="25"/>
      <c r="MX78" s="25"/>
      <c r="MY78" s="25"/>
      <c r="MZ78" s="25"/>
      <c r="NA78" s="25"/>
      <c r="NB78" s="25"/>
      <c r="NC78" s="25"/>
      <c r="ND78" s="25"/>
      <c r="NE78" s="33"/>
    </row>
    <row r="79" spans="1:427" ht="13.5" customHeight="1" x14ac:dyDescent="0.2">
      <c r="A79" s="28" t="s">
        <v>74</v>
      </c>
      <c r="B79" s="41" t="s">
        <v>84</v>
      </c>
      <c r="C79" s="26"/>
      <c r="D79" s="44">
        <v>8</v>
      </c>
      <c r="E79" s="23" t="s">
        <v>85</v>
      </c>
      <c r="F79" s="24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  <c r="EX79" s="25"/>
      <c r="EY79" s="25"/>
      <c r="EZ79" s="25"/>
      <c r="FA79" s="25"/>
      <c r="FB79" s="25"/>
      <c r="FC79" s="25"/>
      <c r="FD79" s="25"/>
      <c r="FE79" s="25"/>
      <c r="FF79" s="25"/>
      <c r="FG79" s="25"/>
      <c r="FH79" s="25"/>
      <c r="FI79" s="25"/>
      <c r="FJ79" s="25"/>
      <c r="FK79" s="25"/>
      <c r="FL79" s="25"/>
      <c r="FM79" s="25"/>
      <c r="FN79" s="25"/>
      <c r="FO79" s="25"/>
      <c r="FP79" s="25"/>
      <c r="FQ79" s="25"/>
      <c r="FR79" s="25"/>
      <c r="FS79" s="25"/>
      <c r="FT79" s="25"/>
      <c r="FU79" s="25"/>
      <c r="FV79" s="25"/>
      <c r="FW79" s="25"/>
      <c r="FX79" s="25"/>
      <c r="FY79" s="25"/>
      <c r="FZ79" s="25"/>
      <c r="GA79" s="25"/>
      <c r="GB79" s="25"/>
      <c r="GC79" s="25"/>
      <c r="GD79" s="25"/>
      <c r="GE79" s="25"/>
      <c r="GF79" s="25"/>
      <c r="GG79" s="25"/>
      <c r="GH79" s="25"/>
      <c r="GI79" s="25"/>
      <c r="GJ79" s="25"/>
      <c r="GK79" s="25"/>
      <c r="GL79" s="25"/>
      <c r="GM79" s="25"/>
      <c r="GN79" s="25"/>
      <c r="GO79" s="25"/>
      <c r="GP79" s="25"/>
      <c r="GQ79" s="25"/>
      <c r="GR79" s="25"/>
      <c r="GS79" s="25"/>
      <c r="GT79" s="25"/>
      <c r="GU79" s="25"/>
      <c r="GV79" s="25"/>
      <c r="GW79" s="25"/>
      <c r="GX79" s="25"/>
      <c r="GY79" s="25"/>
      <c r="GZ79" s="25"/>
      <c r="HA79" s="25"/>
      <c r="HB79" s="25"/>
      <c r="HC79" s="25"/>
      <c r="HD79" s="25"/>
      <c r="HE79" s="25"/>
      <c r="HF79" s="25"/>
      <c r="HG79" s="25"/>
      <c r="HH79" s="25"/>
      <c r="HI79" s="25"/>
      <c r="HJ79" s="25"/>
      <c r="HK79" s="25"/>
      <c r="HL79" s="25"/>
      <c r="HM79" s="25"/>
      <c r="HN79" s="25"/>
      <c r="HO79" s="25"/>
      <c r="HP79" s="25"/>
      <c r="HQ79" s="25"/>
      <c r="HR79" s="25"/>
      <c r="HS79" s="25"/>
      <c r="HT79" s="25"/>
      <c r="HU79" s="25"/>
      <c r="HV79" s="25"/>
      <c r="HW79" s="25"/>
      <c r="HX79" s="25"/>
      <c r="HY79" s="25"/>
      <c r="HZ79" s="25"/>
      <c r="IA79" s="25"/>
      <c r="IB79" s="25"/>
      <c r="IC79" s="25"/>
      <c r="ID79" s="25"/>
      <c r="IE79" s="25"/>
      <c r="IF79" s="25"/>
      <c r="IG79" s="25"/>
      <c r="IH79" s="25"/>
      <c r="II79" s="25"/>
      <c r="IJ79" s="25"/>
      <c r="IK79" s="25"/>
      <c r="IL79" s="25"/>
      <c r="IM79" s="25"/>
      <c r="IN79" s="25"/>
      <c r="IO79" s="25"/>
      <c r="IP79" s="25"/>
      <c r="IQ79" s="25"/>
      <c r="IR79" s="25"/>
      <c r="IS79" s="25"/>
      <c r="IT79" s="25"/>
      <c r="IU79" s="25"/>
      <c r="IV79" s="25"/>
      <c r="IW79" s="25"/>
      <c r="IX79" s="25"/>
      <c r="IY79" s="25"/>
      <c r="IZ79" s="25"/>
      <c r="JA79" s="25"/>
      <c r="JB79" s="25"/>
      <c r="JC79" s="25"/>
      <c r="JD79" s="25"/>
      <c r="JE79" s="25"/>
      <c r="JF79" s="25"/>
      <c r="JG79" s="25"/>
      <c r="JH79" s="25"/>
      <c r="JI79" s="25"/>
      <c r="JJ79" s="25"/>
      <c r="JK79" s="25"/>
      <c r="JL79" s="25"/>
      <c r="JM79" s="25"/>
      <c r="JN79" s="25"/>
      <c r="JO79" s="25"/>
      <c r="JP79" s="25"/>
      <c r="JQ79" s="25"/>
      <c r="JR79" s="25"/>
      <c r="JS79" s="25"/>
      <c r="JT79" s="25"/>
      <c r="JU79" s="25"/>
      <c r="JV79" s="25"/>
      <c r="JW79" s="25"/>
      <c r="JX79" s="25"/>
      <c r="JY79" s="25"/>
      <c r="JZ79" s="25"/>
      <c r="KA79" s="25"/>
      <c r="KB79" s="25"/>
      <c r="KC79" s="25"/>
      <c r="KD79" s="25"/>
      <c r="KE79" s="25"/>
      <c r="KF79" s="25"/>
      <c r="KG79" s="25"/>
      <c r="KH79" s="25"/>
      <c r="KI79" s="25"/>
      <c r="KJ79" s="25"/>
      <c r="KK79" s="25"/>
      <c r="KL79" s="25"/>
      <c r="KM79" s="25"/>
      <c r="KN79" s="25"/>
      <c r="KO79" s="25"/>
      <c r="KP79" s="25"/>
      <c r="KQ79" s="25"/>
      <c r="KR79" s="25"/>
      <c r="KS79" s="25"/>
      <c r="KT79" s="25"/>
      <c r="KU79" s="25"/>
      <c r="KV79" s="25"/>
      <c r="KW79" s="25"/>
      <c r="KX79" s="25"/>
      <c r="KY79" s="25"/>
      <c r="KZ79" s="25"/>
      <c r="LA79" s="25"/>
      <c r="LB79" s="25"/>
      <c r="LC79" s="25"/>
      <c r="LD79" s="25"/>
      <c r="LE79" s="25"/>
      <c r="LF79" s="25"/>
      <c r="LG79" s="25"/>
      <c r="LH79" s="25"/>
      <c r="LI79" s="25"/>
      <c r="LJ79" s="25"/>
      <c r="LK79" s="25"/>
      <c r="LL79" s="25"/>
      <c r="LM79" s="25"/>
      <c r="LN79" s="25"/>
      <c r="LO79" s="25"/>
      <c r="LP79" s="25"/>
      <c r="LQ79" s="25"/>
      <c r="LR79" s="25"/>
      <c r="LS79" s="25"/>
      <c r="LT79" s="25"/>
      <c r="LU79" s="25"/>
      <c r="LV79" s="25"/>
      <c r="LW79" s="25"/>
      <c r="LX79" s="25"/>
      <c r="LY79" s="25"/>
      <c r="LZ79" s="25"/>
      <c r="MA79" s="25"/>
      <c r="MB79" s="25"/>
      <c r="MC79" s="25"/>
      <c r="MD79" s="25"/>
      <c r="ME79" s="25"/>
      <c r="MF79" s="25"/>
      <c r="MG79" s="25"/>
      <c r="MH79" s="25"/>
      <c r="MI79" s="25"/>
      <c r="MJ79" s="25"/>
      <c r="MK79" s="25"/>
      <c r="ML79" s="25"/>
      <c r="MM79" s="25"/>
      <c r="MN79" s="25"/>
      <c r="MO79" s="25"/>
      <c r="MP79" s="25"/>
      <c r="MQ79" s="25"/>
      <c r="MR79" s="25"/>
      <c r="MS79" s="25"/>
      <c r="MT79" s="25"/>
      <c r="MU79" s="25"/>
      <c r="MV79" s="25"/>
      <c r="MW79" s="25"/>
      <c r="MX79" s="25"/>
      <c r="MY79" s="25"/>
      <c r="MZ79" s="25"/>
      <c r="NA79" s="25"/>
      <c r="NB79" s="25"/>
      <c r="NC79" s="25"/>
      <c r="ND79" s="25"/>
      <c r="NE79" s="33"/>
      <c r="OG79" s="18">
        <v>1</v>
      </c>
      <c r="OH79" s="18">
        <v>43196</v>
      </c>
      <c r="OI79" s="18">
        <v>43248</v>
      </c>
      <c r="PJ79" s="20" t="s">
        <v>11</v>
      </c>
      <c r="PK79" s="20">
        <v>106</v>
      </c>
    </row>
    <row r="80" spans="1:427" ht="0.75" customHeight="1" x14ac:dyDescent="0.2">
      <c r="A80" s="28"/>
      <c r="B80" s="22"/>
      <c r="C80" s="22"/>
      <c r="D80" s="44"/>
      <c r="E80" s="23"/>
      <c r="F80" s="24" t="s">
        <v>10</v>
      </c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  <c r="EX80" s="25"/>
      <c r="EY80" s="25"/>
      <c r="EZ80" s="25"/>
      <c r="FA80" s="25"/>
      <c r="FB80" s="25"/>
      <c r="FC80" s="25"/>
      <c r="FD80" s="25"/>
      <c r="FE80" s="25"/>
      <c r="FF80" s="25"/>
      <c r="FG80" s="25"/>
      <c r="FH80" s="25"/>
      <c r="FI80" s="25"/>
      <c r="FJ80" s="25"/>
      <c r="FK80" s="25"/>
      <c r="FL80" s="25"/>
      <c r="FM80" s="25"/>
      <c r="FN80" s="25"/>
      <c r="FO80" s="25"/>
      <c r="FP80" s="25"/>
      <c r="FQ80" s="25"/>
      <c r="FR80" s="25"/>
      <c r="FS80" s="25"/>
      <c r="FT80" s="25"/>
      <c r="FU80" s="25"/>
      <c r="FV80" s="25"/>
      <c r="FW80" s="25"/>
      <c r="FX80" s="25"/>
      <c r="FY80" s="25"/>
      <c r="FZ80" s="25"/>
      <c r="GA80" s="25"/>
      <c r="GB80" s="25"/>
      <c r="GC80" s="25"/>
      <c r="GD80" s="25"/>
      <c r="GE80" s="25"/>
      <c r="GF80" s="25"/>
      <c r="GG80" s="25"/>
      <c r="GH80" s="25"/>
      <c r="GI80" s="25"/>
      <c r="GJ80" s="25"/>
      <c r="GK80" s="25"/>
      <c r="GL80" s="25"/>
      <c r="GM80" s="25"/>
      <c r="GN80" s="25"/>
      <c r="GO80" s="25"/>
      <c r="GP80" s="25"/>
      <c r="GQ80" s="25"/>
      <c r="GR80" s="25"/>
      <c r="GS80" s="25"/>
      <c r="GT80" s="25"/>
      <c r="GU80" s="25"/>
      <c r="GV80" s="25"/>
      <c r="GW80" s="25"/>
      <c r="GX80" s="25"/>
      <c r="GY80" s="25"/>
      <c r="GZ80" s="25"/>
      <c r="HA80" s="25"/>
      <c r="HB80" s="25"/>
      <c r="HC80" s="25"/>
      <c r="HD80" s="25"/>
      <c r="HE80" s="25"/>
      <c r="HF80" s="25"/>
      <c r="HG80" s="25"/>
      <c r="HH80" s="25"/>
      <c r="HI80" s="25"/>
      <c r="HJ80" s="25"/>
      <c r="HK80" s="25"/>
      <c r="HL80" s="25"/>
      <c r="HM80" s="25"/>
      <c r="HN80" s="25"/>
      <c r="HO80" s="25"/>
      <c r="HP80" s="25"/>
      <c r="HQ80" s="25"/>
      <c r="HR80" s="25"/>
      <c r="HS80" s="25"/>
      <c r="HT80" s="25"/>
      <c r="HU80" s="25"/>
      <c r="HV80" s="25"/>
      <c r="HW80" s="25"/>
      <c r="HX80" s="25"/>
      <c r="HY80" s="25"/>
      <c r="HZ80" s="25"/>
      <c r="IA80" s="25"/>
      <c r="IB80" s="25"/>
      <c r="IC80" s="25"/>
      <c r="ID80" s="25"/>
      <c r="IE80" s="25"/>
      <c r="IF80" s="25"/>
      <c r="IG80" s="25"/>
      <c r="IH80" s="25"/>
      <c r="II80" s="25"/>
      <c r="IJ80" s="25"/>
      <c r="IK80" s="25"/>
      <c r="IL80" s="25"/>
      <c r="IM80" s="25"/>
      <c r="IN80" s="25"/>
      <c r="IO80" s="25"/>
      <c r="IP80" s="25"/>
      <c r="IQ80" s="25"/>
      <c r="IR80" s="25"/>
      <c r="IS80" s="25"/>
      <c r="IT80" s="25"/>
      <c r="IU80" s="25"/>
      <c r="IV80" s="25"/>
      <c r="IW80" s="25"/>
      <c r="IX80" s="25"/>
      <c r="IY80" s="25"/>
      <c r="IZ80" s="25"/>
      <c r="JA80" s="25"/>
      <c r="JB80" s="25"/>
      <c r="JC80" s="25"/>
      <c r="JD80" s="25"/>
      <c r="JE80" s="25"/>
      <c r="JF80" s="25"/>
      <c r="JG80" s="25"/>
      <c r="JH80" s="25"/>
      <c r="JI80" s="25"/>
      <c r="JJ80" s="25"/>
      <c r="JK80" s="25"/>
      <c r="JL80" s="25"/>
      <c r="JM80" s="25"/>
      <c r="JN80" s="25"/>
      <c r="JO80" s="25"/>
      <c r="JP80" s="25"/>
      <c r="JQ80" s="25"/>
      <c r="JR80" s="25"/>
      <c r="JS80" s="25"/>
      <c r="JT80" s="25"/>
      <c r="JU80" s="25"/>
      <c r="JV80" s="25"/>
      <c r="JW80" s="25"/>
      <c r="JX80" s="25"/>
      <c r="JY80" s="25"/>
      <c r="JZ80" s="25"/>
      <c r="KA80" s="25"/>
      <c r="KB80" s="25"/>
      <c r="KC80" s="25"/>
      <c r="KD80" s="25"/>
      <c r="KE80" s="25"/>
      <c r="KF80" s="25"/>
      <c r="KG80" s="25"/>
      <c r="KH80" s="25"/>
      <c r="KI80" s="25"/>
      <c r="KJ80" s="25"/>
      <c r="KK80" s="25"/>
      <c r="KL80" s="25"/>
      <c r="KM80" s="25"/>
      <c r="KN80" s="25"/>
      <c r="KO80" s="25"/>
      <c r="KP80" s="25"/>
      <c r="KQ80" s="25"/>
      <c r="KR80" s="25"/>
      <c r="KS80" s="25"/>
      <c r="KT80" s="25"/>
      <c r="KU80" s="25"/>
      <c r="KV80" s="25"/>
      <c r="KW80" s="25"/>
      <c r="KX80" s="25"/>
      <c r="KY80" s="25"/>
      <c r="KZ80" s="25"/>
      <c r="LA80" s="25"/>
      <c r="LB80" s="25"/>
      <c r="LC80" s="25"/>
      <c r="LD80" s="25"/>
      <c r="LE80" s="25"/>
      <c r="LF80" s="25"/>
      <c r="LG80" s="25"/>
      <c r="LH80" s="25"/>
      <c r="LI80" s="25"/>
      <c r="LJ80" s="25"/>
      <c r="LK80" s="25"/>
      <c r="LL80" s="25"/>
      <c r="LM80" s="25"/>
      <c r="LN80" s="25"/>
      <c r="LO80" s="25"/>
      <c r="LP80" s="25"/>
      <c r="LQ80" s="25"/>
      <c r="LR80" s="25"/>
      <c r="LS80" s="25"/>
      <c r="LT80" s="25"/>
      <c r="LU80" s="25"/>
      <c r="LV80" s="25"/>
      <c r="LW80" s="25"/>
      <c r="LX80" s="25"/>
      <c r="LY80" s="25"/>
      <c r="LZ80" s="25"/>
      <c r="MA80" s="25"/>
      <c r="MB80" s="25"/>
      <c r="MC80" s="25"/>
      <c r="MD80" s="25"/>
      <c r="ME80" s="25"/>
      <c r="MF80" s="25"/>
      <c r="MG80" s="25"/>
      <c r="MH80" s="25"/>
      <c r="MI80" s="25"/>
      <c r="MJ80" s="25"/>
      <c r="MK80" s="25"/>
      <c r="ML80" s="25"/>
      <c r="MM80" s="25"/>
      <c r="MN80" s="25"/>
      <c r="MO80" s="25"/>
      <c r="MP80" s="25"/>
      <c r="MQ80" s="25"/>
      <c r="MR80" s="25"/>
      <c r="MS80" s="25"/>
      <c r="MT80" s="25"/>
      <c r="MU80" s="25"/>
      <c r="MV80" s="25"/>
      <c r="MW80" s="25"/>
      <c r="MX80" s="25"/>
      <c r="MY80" s="25"/>
      <c r="MZ80" s="25"/>
      <c r="NA80" s="25"/>
      <c r="NB80" s="25"/>
      <c r="NC80" s="25"/>
      <c r="ND80" s="25"/>
      <c r="NE80" s="33"/>
    </row>
    <row r="81" spans="1:427" ht="13.5" customHeight="1" x14ac:dyDescent="0.2">
      <c r="A81" s="28" t="s">
        <v>78</v>
      </c>
      <c r="B81" s="47" t="s">
        <v>86</v>
      </c>
      <c r="C81" s="26"/>
      <c r="D81" s="45">
        <v>16</v>
      </c>
      <c r="E81" s="23" t="s">
        <v>54</v>
      </c>
      <c r="F81" s="24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40"/>
      <c r="Y81" s="40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  <c r="EX81" s="25"/>
      <c r="EY81" s="25"/>
      <c r="EZ81" s="25"/>
      <c r="FA81" s="25"/>
      <c r="FB81" s="25"/>
      <c r="FC81" s="25"/>
      <c r="FD81" s="25"/>
      <c r="FE81" s="25"/>
      <c r="FF81" s="25"/>
      <c r="FG81" s="25"/>
      <c r="FH81" s="25"/>
      <c r="FI81" s="25"/>
      <c r="FJ81" s="25"/>
      <c r="FK81" s="25"/>
      <c r="FL81" s="25"/>
      <c r="FM81" s="25"/>
      <c r="FN81" s="25"/>
      <c r="FO81" s="25"/>
      <c r="FP81" s="25"/>
      <c r="FQ81" s="25"/>
      <c r="FR81" s="25"/>
      <c r="FS81" s="25"/>
      <c r="FT81" s="25"/>
      <c r="FU81" s="25"/>
      <c r="FV81" s="25"/>
      <c r="FW81" s="25"/>
      <c r="FX81" s="25"/>
      <c r="FY81" s="25"/>
      <c r="FZ81" s="25"/>
      <c r="GA81" s="25"/>
      <c r="GB81" s="25"/>
      <c r="GC81" s="25"/>
      <c r="GD81" s="25"/>
      <c r="GE81" s="25"/>
      <c r="GF81" s="25"/>
      <c r="GG81" s="25"/>
      <c r="GH81" s="25"/>
      <c r="GI81" s="25"/>
      <c r="GJ81" s="25"/>
      <c r="GK81" s="25"/>
      <c r="GL81" s="25"/>
      <c r="GM81" s="25"/>
      <c r="GN81" s="25"/>
      <c r="GO81" s="25"/>
      <c r="GP81" s="25"/>
      <c r="GQ81" s="25"/>
      <c r="GR81" s="25"/>
      <c r="GS81" s="25"/>
      <c r="GT81" s="25"/>
      <c r="GU81" s="25"/>
      <c r="GV81" s="25"/>
      <c r="GW81" s="25"/>
      <c r="GX81" s="25"/>
      <c r="GY81" s="25"/>
      <c r="GZ81" s="25"/>
      <c r="HA81" s="25"/>
      <c r="HB81" s="25"/>
      <c r="HC81" s="25"/>
      <c r="HD81" s="25"/>
      <c r="HE81" s="25"/>
      <c r="HF81" s="25"/>
      <c r="HG81" s="25"/>
      <c r="HH81" s="25"/>
      <c r="HI81" s="25"/>
      <c r="HJ81" s="25"/>
      <c r="HK81" s="25"/>
      <c r="HL81" s="25"/>
      <c r="HM81" s="25"/>
      <c r="HN81" s="25"/>
      <c r="HO81" s="25"/>
      <c r="HP81" s="25"/>
      <c r="HQ81" s="25"/>
      <c r="HR81" s="25"/>
      <c r="HS81" s="25"/>
      <c r="HT81" s="25"/>
      <c r="HU81" s="25"/>
      <c r="HV81" s="25"/>
      <c r="HW81" s="25"/>
      <c r="HX81" s="25"/>
      <c r="HY81" s="25"/>
      <c r="HZ81" s="25"/>
      <c r="IA81" s="25"/>
      <c r="IB81" s="25"/>
      <c r="IC81" s="25"/>
      <c r="ID81" s="25"/>
      <c r="IE81" s="25"/>
      <c r="IF81" s="25"/>
      <c r="IG81" s="25"/>
      <c r="IH81" s="25"/>
      <c r="II81" s="25"/>
      <c r="IJ81" s="25"/>
      <c r="IK81" s="25"/>
      <c r="IL81" s="25"/>
      <c r="IM81" s="25"/>
      <c r="IN81" s="25"/>
      <c r="IO81" s="25"/>
      <c r="IP81" s="25"/>
      <c r="IQ81" s="25"/>
      <c r="IR81" s="25"/>
      <c r="IS81" s="25"/>
      <c r="IT81" s="25"/>
      <c r="IU81" s="25"/>
      <c r="IV81" s="25"/>
      <c r="IW81" s="25"/>
      <c r="IX81" s="25"/>
      <c r="IY81" s="25"/>
      <c r="IZ81" s="25"/>
      <c r="JA81" s="25"/>
      <c r="JB81" s="25"/>
      <c r="JC81" s="25"/>
      <c r="JD81" s="25"/>
      <c r="JE81" s="25"/>
      <c r="JF81" s="25"/>
      <c r="JG81" s="25"/>
      <c r="JH81" s="25"/>
      <c r="JI81" s="25"/>
      <c r="JJ81" s="25"/>
      <c r="JK81" s="25"/>
      <c r="JL81" s="25"/>
      <c r="JM81" s="25"/>
      <c r="JN81" s="25"/>
      <c r="JO81" s="25"/>
      <c r="JP81" s="25"/>
      <c r="JQ81" s="25"/>
      <c r="JR81" s="25"/>
      <c r="JS81" s="25"/>
      <c r="JT81" s="25"/>
      <c r="JU81" s="25"/>
      <c r="JV81" s="25"/>
      <c r="JW81" s="25"/>
      <c r="JX81" s="25"/>
      <c r="JY81" s="25"/>
      <c r="JZ81" s="25"/>
      <c r="KA81" s="25"/>
      <c r="KB81" s="25"/>
      <c r="KC81" s="25"/>
      <c r="KD81" s="25"/>
      <c r="KE81" s="25"/>
      <c r="KF81" s="25"/>
      <c r="KG81" s="25"/>
      <c r="KH81" s="25"/>
      <c r="KI81" s="25"/>
      <c r="KJ81" s="25"/>
      <c r="KK81" s="25"/>
      <c r="KL81" s="25"/>
      <c r="KM81" s="25"/>
      <c r="KN81" s="25"/>
      <c r="KO81" s="25"/>
      <c r="KP81" s="25"/>
      <c r="KQ81" s="25"/>
      <c r="KR81" s="25"/>
      <c r="KS81" s="25"/>
      <c r="KT81" s="25"/>
      <c r="KU81" s="25"/>
      <c r="KV81" s="25"/>
      <c r="KW81" s="25"/>
      <c r="KX81" s="25"/>
      <c r="KY81" s="25"/>
      <c r="KZ81" s="25"/>
      <c r="LA81" s="25"/>
      <c r="LB81" s="25"/>
      <c r="LC81" s="25"/>
      <c r="LD81" s="25"/>
      <c r="LE81" s="25"/>
      <c r="LF81" s="25"/>
      <c r="LG81" s="25"/>
      <c r="LH81" s="25"/>
      <c r="LI81" s="25"/>
      <c r="LJ81" s="25"/>
      <c r="LK81" s="25"/>
      <c r="LL81" s="25"/>
      <c r="LM81" s="25"/>
      <c r="LN81" s="25"/>
      <c r="LO81" s="25"/>
      <c r="LP81" s="25"/>
      <c r="LQ81" s="25"/>
      <c r="LR81" s="25"/>
      <c r="LS81" s="25"/>
      <c r="LT81" s="25"/>
      <c r="LU81" s="25"/>
      <c r="LV81" s="25"/>
      <c r="LW81" s="25"/>
      <c r="LX81" s="25"/>
      <c r="LY81" s="25"/>
      <c r="LZ81" s="25"/>
      <c r="MA81" s="25"/>
      <c r="MB81" s="25"/>
      <c r="MC81" s="25"/>
      <c r="MD81" s="25"/>
      <c r="ME81" s="25"/>
      <c r="MF81" s="25"/>
      <c r="MG81" s="25"/>
      <c r="MH81" s="25"/>
      <c r="MI81" s="25"/>
      <c r="MJ81" s="25"/>
      <c r="MK81" s="25"/>
      <c r="ML81" s="25"/>
      <c r="MM81" s="25"/>
      <c r="MN81" s="25"/>
      <c r="MO81" s="25"/>
      <c r="MP81" s="25"/>
      <c r="MQ81" s="25"/>
      <c r="MR81" s="25"/>
      <c r="MS81" s="25"/>
      <c r="MT81" s="25"/>
      <c r="MU81" s="25"/>
      <c r="MV81" s="25"/>
      <c r="MW81" s="25"/>
      <c r="MX81" s="25"/>
      <c r="MY81" s="25"/>
      <c r="MZ81" s="25"/>
      <c r="NA81" s="25"/>
      <c r="NB81" s="25"/>
      <c r="NC81" s="25"/>
      <c r="ND81" s="25"/>
      <c r="NE81" s="33"/>
      <c r="OG81" s="18">
        <v>1</v>
      </c>
      <c r="OH81" s="18">
        <v>43336</v>
      </c>
      <c r="OI81" s="18">
        <v>43388</v>
      </c>
      <c r="PJ81" s="20" t="s">
        <v>11</v>
      </c>
      <c r="PK81" s="20">
        <v>106</v>
      </c>
    </row>
    <row r="82" spans="1:427" ht="0.75" customHeight="1" x14ac:dyDescent="0.2">
      <c r="A82" s="28" t="s">
        <v>74</v>
      </c>
      <c r="B82" s="47"/>
      <c r="C82" s="22"/>
      <c r="D82" s="44"/>
      <c r="E82" s="23"/>
      <c r="F82" s="24" t="s">
        <v>10</v>
      </c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  <c r="EX82" s="25"/>
      <c r="EY82" s="25"/>
      <c r="EZ82" s="25"/>
      <c r="FA82" s="25"/>
      <c r="FB82" s="25"/>
      <c r="FC82" s="25"/>
      <c r="FD82" s="25"/>
      <c r="FE82" s="25"/>
      <c r="FF82" s="25"/>
      <c r="FG82" s="25"/>
      <c r="FH82" s="25"/>
      <c r="FI82" s="25"/>
      <c r="FJ82" s="25"/>
      <c r="FK82" s="25"/>
      <c r="FL82" s="25"/>
      <c r="FM82" s="25"/>
      <c r="FN82" s="25"/>
      <c r="FO82" s="25"/>
      <c r="FP82" s="25"/>
      <c r="FQ82" s="25"/>
      <c r="FR82" s="25"/>
      <c r="FS82" s="25"/>
      <c r="FT82" s="25"/>
      <c r="FU82" s="25"/>
      <c r="FV82" s="25"/>
      <c r="FW82" s="25"/>
      <c r="FX82" s="25"/>
      <c r="FY82" s="25"/>
      <c r="FZ82" s="25"/>
      <c r="GA82" s="25"/>
      <c r="GB82" s="25"/>
      <c r="GC82" s="25"/>
      <c r="GD82" s="25"/>
      <c r="GE82" s="25"/>
      <c r="GF82" s="25"/>
      <c r="GG82" s="25"/>
      <c r="GH82" s="25"/>
      <c r="GI82" s="25"/>
      <c r="GJ82" s="25"/>
      <c r="GK82" s="25"/>
      <c r="GL82" s="25"/>
      <c r="GM82" s="25"/>
      <c r="GN82" s="25"/>
      <c r="GO82" s="25"/>
      <c r="GP82" s="25"/>
      <c r="GQ82" s="25"/>
      <c r="GR82" s="25"/>
      <c r="GS82" s="25"/>
      <c r="GT82" s="25"/>
      <c r="GU82" s="25"/>
      <c r="GV82" s="25"/>
      <c r="GW82" s="25"/>
      <c r="GX82" s="25"/>
      <c r="GY82" s="25"/>
      <c r="GZ82" s="25"/>
      <c r="HA82" s="25"/>
      <c r="HB82" s="25"/>
      <c r="HC82" s="25"/>
      <c r="HD82" s="25"/>
      <c r="HE82" s="25"/>
      <c r="HF82" s="25"/>
      <c r="HG82" s="25"/>
      <c r="HH82" s="25"/>
      <c r="HI82" s="25"/>
      <c r="HJ82" s="25"/>
      <c r="HK82" s="25"/>
      <c r="HL82" s="25"/>
      <c r="HM82" s="25"/>
      <c r="HN82" s="25"/>
      <c r="HO82" s="25"/>
      <c r="HP82" s="25"/>
      <c r="HQ82" s="25"/>
      <c r="HR82" s="25"/>
      <c r="HS82" s="25"/>
      <c r="HT82" s="25"/>
      <c r="HU82" s="25"/>
      <c r="HV82" s="25"/>
      <c r="HW82" s="25"/>
      <c r="HX82" s="25"/>
      <c r="HY82" s="25"/>
      <c r="HZ82" s="25"/>
      <c r="IA82" s="25"/>
      <c r="IB82" s="25"/>
      <c r="IC82" s="25"/>
      <c r="ID82" s="25"/>
      <c r="IE82" s="25"/>
      <c r="IF82" s="25"/>
      <c r="IG82" s="25"/>
      <c r="IH82" s="25"/>
      <c r="II82" s="25"/>
      <c r="IJ82" s="25"/>
      <c r="IK82" s="25"/>
      <c r="IL82" s="25"/>
      <c r="IM82" s="25"/>
      <c r="IN82" s="25"/>
      <c r="IO82" s="25"/>
      <c r="IP82" s="25"/>
      <c r="IQ82" s="25"/>
      <c r="IR82" s="25"/>
      <c r="IS82" s="25"/>
      <c r="IT82" s="25"/>
      <c r="IU82" s="25"/>
      <c r="IV82" s="25"/>
      <c r="IW82" s="25"/>
      <c r="IX82" s="25"/>
      <c r="IY82" s="25"/>
      <c r="IZ82" s="25"/>
      <c r="JA82" s="25"/>
      <c r="JB82" s="25"/>
      <c r="JC82" s="25"/>
      <c r="JD82" s="25"/>
      <c r="JE82" s="25"/>
      <c r="JF82" s="25"/>
      <c r="JG82" s="25"/>
      <c r="JH82" s="25"/>
      <c r="JI82" s="25"/>
      <c r="JJ82" s="25"/>
      <c r="JK82" s="25"/>
      <c r="JL82" s="25"/>
      <c r="JM82" s="25"/>
      <c r="JN82" s="25"/>
      <c r="JO82" s="25"/>
      <c r="JP82" s="25"/>
      <c r="JQ82" s="25"/>
      <c r="JR82" s="25"/>
      <c r="JS82" s="25"/>
      <c r="JT82" s="25"/>
      <c r="JU82" s="25"/>
      <c r="JV82" s="25"/>
      <c r="JW82" s="25"/>
      <c r="JX82" s="25"/>
      <c r="JY82" s="25"/>
      <c r="JZ82" s="25"/>
      <c r="KA82" s="25"/>
      <c r="KB82" s="25"/>
      <c r="KC82" s="25"/>
      <c r="KD82" s="25"/>
      <c r="KE82" s="25"/>
      <c r="KF82" s="25"/>
      <c r="KG82" s="25"/>
      <c r="KH82" s="25"/>
      <c r="KI82" s="25"/>
      <c r="KJ82" s="25"/>
      <c r="KK82" s="25"/>
      <c r="KL82" s="25"/>
      <c r="KM82" s="25"/>
      <c r="KN82" s="25"/>
      <c r="KO82" s="25"/>
      <c r="KP82" s="25"/>
      <c r="KQ82" s="25"/>
      <c r="KR82" s="25"/>
      <c r="KS82" s="25"/>
      <c r="KT82" s="25"/>
      <c r="KU82" s="25"/>
      <c r="KV82" s="25"/>
      <c r="KW82" s="25"/>
      <c r="KX82" s="25"/>
      <c r="KY82" s="25"/>
      <c r="KZ82" s="25"/>
      <c r="LA82" s="25"/>
      <c r="LB82" s="25"/>
      <c r="LC82" s="25"/>
      <c r="LD82" s="25"/>
      <c r="LE82" s="25"/>
      <c r="LF82" s="25"/>
      <c r="LG82" s="25"/>
      <c r="LH82" s="25"/>
      <c r="LI82" s="25"/>
      <c r="LJ82" s="25"/>
      <c r="LK82" s="25"/>
      <c r="LL82" s="25"/>
      <c r="LM82" s="25"/>
      <c r="LN82" s="25"/>
      <c r="LO82" s="25"/>
      <c r="LP82" s="25"/>
      <c r="LQ82" s="25"/>
      <c r="LR82" s="25"/>
      <c r="LS82" s="25"/>
      <c r="LT82" s="25"/>
      <c r="LU82" s="25"/>
      <c r="LV82" s="25"/>
      <c r="LW82" s="25"/>
      <c r="LX82" s="25"/>
      <c r="LY82" s="25"/>
      <c r="LZ82" s="25"/>
      <c r="MA82" s="25"/>
      <c r="MB82" s="25"/>
      <c r="MC82" s="25"/>
      <c r="MD82" s="25"/>
      <c r="ME82" s="25"/>
      <c r="MF82" s="25"/>
      <c r="MG82" s="25"/>
      <c r="MH82" s="25"/>
      <c r="MI82" s="25"/>
      <c r="MJ82" s="25"/>
      <c r="MK82" s="25"/>
      <c r="ML82" s="25"/>
      <c r="MM82" s="25"/>
      <c r="MN82" s="25"/>
      <c r="MO82" s="25"/>
      <c r="MP82" s="25"/>
      <c r="MQ82" s="25"/>
      <c r="MR82" s="25"/>
      <c r="MS82" s="25"/>
      <c r="MT82" s="25"/>
      <c r="MU82" s="25"/>
      <c r="MV82" s="25"/>
      <c r="MW82" s="25"/>
      <c r="MX82" s="25"/>
      <c r="MY82" s="25"/>
      <c r="MZ82" s="25"/>
      <c r="NA82" s="25"/>
      <c r="NB82" s="25"/>
      <c r="NC82" s="25"/>
      <c r="ND82" s="25"/>
      <c r="NE82" s="33"/>
    </row>
    <row r="83" spans="1:427" ht="13.5" customHeight="1" x14ac:dyDescent="0.2">
      <c r="A83" s="28" t="s">
        <v>78</v>
      </c>
      <c r="B83" s="47" t="s">
        <v>87</v>
      </c>
      <c r="C83" s="26"/>
      <c r="D83" s="45">
        <v>24</v>
      </c>
      <c r="E83" s="23" t="s">
        <v>54</v>
      </c>
      <c r="F83" s="24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40"/>
      <c r="AJ83" s="40"/>
      <c r="AK83" s="40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  <c r="EX83" s="25"/>
      <c r="EY83" s="25"/>
      <c r="EZ83" s="25"/>
      <c r="FA83" s="25"/>
      <c r="FB83" s="25"/>
      <c r="FC83" s="25"/>
      <c r="FD83" s="25"/>
      <c r="FE83" s="25"/>
      <c r="FF83" s="25"/>
      <c r="FG83" s="25"/>
      <c r="FH83" s="25"/>
      <c r="FI83" s="25"/>
      <c r="FJ83" s="25"/>
      <c r="FK83" s="25"/>
      <c r="FL83" s="25"/>
      <c r="FM83" s="25"/>
      <c r="FN83" s="25"/>
      <c r="FO83" s="25"/>
      <c r="FP83" s="25"/>
      <c r="FQ83" s="25"/>
      <c r="FR83" s="25"/>
      <c r="FS83" s="25"/>
      <c r="FT83" s="25"/>
      <c r="FU83" s="25"/>
      <c r="FV83" s="25"/>
      <c r="FW83" s="25"/>
      <c r="FX83" s="25"/>
      <c r="FY83" s="25"/>
      <c r="FZ83" s="25"/>
      <c r="GA83" s="25"/>
      <c r="GB83" s="25"/>
      <c r="GC83" s="25"/>
      <c r="GD83" s="25"/>
      <c r="GE83" s="25"/>
      <c r="GF83" s="25"/>
      <c r="GG83" s="25"/>
      <c r="GH83" s="25"/>
      <c r="GI83" s="25"/>
      <c r="GJ83" s="25"/>
      <c r="GK83" s="25"/>
      <c r="GL83" s="25"/>
      <c r="GM83" s="25"/>
      <c r="GN83" s="25"/>
      <c r="GO83" s="25"/>
      <c r="GP83" s="25"/>
      <c r="GQ83" s="25"/>
      <c r="GR83" s="25"/>
      <c r="GS83" s="25"/>
      <c r="GT83" s="25"/>
      <c r="GU83" s="25"/>
      <c r="GV83" s="25"/>
      <c r="GW83" s="25"/>
      <c r="GX83" s="25"/>
      <c r="GY83" s="25"/>
      <c r="GZ83" s="25"/>
      <c r="HA83" s="25"/>
      <c r="HB83" s="25"/>
      <c r="HC83" s="25"/>
      <c r="HD83" s="25"/>
      <c r="HE83" s="25"/>
      <c r="HF83" s="25"/>
      <c r="HG83" s="25"/>
      <c r="HH83" s="25"/>
      <c r="HI83" s="25"/>
      <c r="HJ83" s="25"/>
      <c r="HK83" s="25"/>
      <c r="HL83" s="25"/>
      <c r="HM83" s="25"/>
      <c r="HN83" s="25"/>
      <c r="HO83" s="25"/>
      <c r="HP83" s="25"/>
      <c r="HQ83" s="25"/>
      <c r="HR83" s="25"/>
      <c r="HS83" s="25"/>
      <c r="HT83" s="25"/>
      <c r="HU83" s="25"/>
      <c r="HV83" s="25"/>
      <c r="HW83" s="25"/>
      <c r="HX83" s="25"/>
      <c r="HY83" s="25"/>
      <c r="HZ83" s="25"/>
      <c r="IA83" s="25"/>
      <c r="IB83" s="25"/>
      <c r="IC83" s="25"/>
      <c r="ID83" s="25"/>
      <c r="IE83" s="25"/>
      <c r="IF83" s="25"/>
      <c r="IG83" s="25"/>
      <c r="IH83" s="25"/>
      <c r="II83" s="25"/>
      <c r="IJ83" s="25"/>
      <c r="IK83" s="25"/>
      <c r="IL83" s="25"/>
      <c r="IM83" s="25"/>
      <c r="IN83" s="25"/>
      <c r="IO83" s="25"/>
      <c r="IP83" s="25"/>
      <c r="IQ83" s="25"/>
      <c r="IR83" s="25"/>
      <c r="IS83" s="25"/>
      <c r="IT83" s="25"/>
      <c r="IU83" s="25"/>
      <c r="IV83" s="25"/>
      <c r="IW83" s="25"/>
      <c r="IX83" s="25"/>
      <c r="IY83" s="25"/>
      <c r="IZ83" s="25"/>
      <c r="JA83" s="25"/>
      <c r="JB83" s="25"/>
      <c r="JC83" s="25"/>
      <c r="JD83" s="25"/>
      <c r="JE83" s="25"/>
      <c r="JF83" s="25"/>
      <c r="JG83" s="25"/>
      <c r="JH83" s="25"/>
      <c r="JI83" s="25"/>
      <c r="JJ83" s="25"/>
      <c r="JK83" s="25"/>
      <c r="JL83" s="25"/>
      <c r="JM83" s="25"/>
      <c r="JN83" s="25"/>
      <c r="JO83" s="25"/>
      <c r="JP83" s="25"/>
      <c r="JQ83" s="25"/>
      <c r="JR83" s="25"/>
      <c r="JS83" s="25"/>
      <c r="JT83" s="25"/>
      <c r="JU83" s="25"/>
      <c r="JV83" s="25"/>
      <c r="JW83" s="25"/>
      <c r="JX83" s="25"/>
      <c r="JY83" s="25"/>
      <c r="JZ83" s="25"/>
      <c r="KA83" s="25"/>
      <c r="KB83" s="25"/>
      <c r="KC83" s="25"/>
      <c r="KD83" s="25"/>
      <c r="KE83" s="25"/>
      <c r="KF83" s="25"/>
      <c r="KG83" s="25"/>
      <c r="KH83" s="25"/>
      <c r="KI83" s="25"/>
      <c r="KJ83" s="25"/>
      <c r="KK83" s="25"/>
      <c r="KL83" s="25"/>
      <c r="KM83" s="25"/>
      <c r="KN83" s="25"/>
      <c r="KO83" s="25"/>
      <c r="KP83" s="25"/>
      <c r="KQ83" s="25"/>
      <c r="KR83" s="25"/>
      <c r="KS83" s="25"/>
      <c r="KT83" s="25"/>
      <c r="KU83" s="25"/>
      <c r="KV83" s="25"/>
      <c r="KW83" s="25"/>
      <c r="KX83" s="25"/>
      <c r="KY83" s="25"/>
      <c r="KZ83" s="25"/>
      <c r="LA83" s="25"/>
      <c r="LB83" s="25"/>
      <c r="LC83" s="25"/>
      <c r="LD83" s="25"/>
      <c r="LE83" s="25"/>
      <c r="LF83" s="25"/>
      <c r="LG83" s="25"/>
      <c r="LH83" s="25"/>
      <c r="LI83" s="25"/>
      <c r="LJ83" s="25"/>
      <c r="LK83" s="25"/>
      <c r="LL83" s="25"/>
      <c r="LM83" s="25"/>
      <c r="LN83" s="25"/>
      <c r="LO83" s="25"/>
      <c r="LP83" s="25"/>
      <c r="LQ83" s="25"/>
      <c r="LR83" s="25"/>
      <c r="LS83" s="25"/>
      <c r="LT83" s="25"/>
      <c r="LU83" s="25"/>
      <c r="LV83" s="25"/>
      <c r="LW83" s="25"/>
      <c r="LX83" s="25"/>
      <c r="LY83" s="25"/>
      <c r="LZ83" s="25"/>
      <c r="MA83" s="25"/>
      <c r="MB83" s="25"/>
      <c r="MC83" s="25"/>
      <c r="MD83" s="25"/>
      <c r="ME83" s="25"/>
      <c r="MF83" s="25"/>
      <c r="MG83" s="25"/>
      <c r="MH83" s="25"/>
      <c r="MI83" s="25"/>
      <c r="MJ83" s="25"/>
      <c r="MK83" s="25"/>
      <c r="ML83" s="25"/>
      <c r="MM83" s="25"/>
      <c r="MN83" s="25"/>
      <c r="MO83" s="25"/>
      <c r="MP83" s="25"/>
      <c r="MQ83" s="25"/>
      <c r="MR83" s="25"/>
      <c r="MS83" s="25"/>
      <c r="MT83" s="25"/>
      <c r="MU83" s="25"/>
      <c r="MV83" s="25"/>
      <c r="MW83" s="25"/>
      <c r="MX83" s="25"/>
      <c r="MY83" s="25"/>
      <c r="MZ83" s="25"/>
      <c r="NA83" s="25"/>
      <c r="NB83" s="25"/>
      <c r="NC83" s="25"/>
      <c r="ND83" s="25"/>
      <c r="NE83" s="33"/>
      <c r="OG83" s="18">
        <v>1</v>
      </c>
      <c r="OH83" s="18">
        <v>43196</v>
      </c>
      <c r="OI83" s="18">
        <v>43248</v>
      </c>
      <c r="PJ83" s="20" t="s">
        <v>11</v>
      </c>
      <c r="PK83" s="20">
        <v>106</v>
      </c>
    </row>
    <row r="84" spans="1:427" ht="0.75" customHeight="1" x14ac:dyDescent="0.2">
      <c r="A84" s="28"/>
      <c r="B84" s="22"/>
      <c r="C84" s="22"/>
      <c r="D84" s="44"/>
      <c r="E84" s="23"/>
      <c r="F84" s="24" t="s">
        <v>10</v>
      </c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  <c r="EX84" s="25"/>
      <c r="EY84" s="25"/>
      <c r="EZ84" s="25"/>
      <c r="FA84" s="25"/>
      <c r="FB84" s="25"/>
      <c r="FC84" s="25"/>
      <c r="FD84" s="25"/>
      <c r="FE84" s="25"/>
      <c r="FF84" s="25"/>
      <c r="FG84" s="25"/>
      <c r="FH84" s="25"/>
      <c r="FI84" s="25"/>
      <c r="FJ84" s="25"/>
      <c r="FK84" s="25"/>
      <c r="FL84" s="25"/>
      <c r="FM84" s="25"/>
      <c r="FN84" s="25"/>
      <c r="FO84" s="25"/>
      <c r="FP84" s="25"/>
      <c r="FQ84" s="25"/>
      <c r="FR84" s="25"/>
      <c r="FS84" s="25"/>
      <c r="FT84" s="25"/>
      <c r="FU84" s="25"/>
      <c r="FV84" s="25"/>
      <c r="FW84" s="25"/>
      <c r="FX84" s="25"/>
      <c r="FY84" s="25"/>
      <c r="FZ84" s="25"/>
      <c r="GA84" s="25"/>
      <c r="GB84" s="25"/>
      <c r="GC84" s="25"/>
      <c r="GD84" s="25"/>
      <c r="GE84" s="25"/>
      <c r="GF84" s="25"/>
      <c r="GG84" s="25"/>
      <c r="GH84" s="25"/>
      <c r="GI84" s="25"/>
      <c r="GJ84" s="25"/>
      <c r="GK84" s="25"/>
      <c r="GL84" s="25"/>
      <c r="GM84" s="25"/>
      <c r="GN84" s="25"/>
      <c r="GO84" s="25"/>
      <c r="GP84" s="25"/>
      <c r="GQ84" s="25"/>
      <c r="GR84" s="25"/>
      <c r="GS84" s="25"/>
      <c r="GT84" s="25"/>
      <c r="GU84" s="25"/>
      <c r="GV84" s="25"/>
      <c r="GW84" s="25"/>
      <c r="GX84" s="25"/>
      <c r="GY84" s="25"/>
      <c r="GZ84" s="25"/>
      <c r="HA84" s="25"/>
      <c r="HB84" s="25"/>
      <c r="HC84" s="25"/>
      <c r="HD84" s="25"/>
      <c r="HE84" s="25"/>
      <c r="HF84" s="25"/>
      <c r="HG84" s="25"/>
      <c r="HH84" s="25"/>
      <c r="HI84" s="25"/>
      <c r="HJ84" s="25"/>
      <c r="HK84" s="25"/>
      <c r="HL84" s="25"/>
      <c r="HM84" s="25"/>
      <c r="HN84" s="25"/>
      <c r="HO84" s="25"/>
      <c r="HP84" s="25"/>
      <c r="HQ84" s="25"/>
      <c r="HR84" s="25"/>
      <c r="HS84" s="25"/>
      <c r="HT84" s="25"/>
      <c r="HU84" s="25"/>
      <c r="HV84" s="25"/>
      <c r="HW84" s="25"/>
      <c r="HX84" s="25"/>
      <c r="HY84" s="25"/>
      <c r="HZ84" s="25"/>
      <c r="IA84" s="25"/>
      <c r="IB84" s="25"/>
      <c r="IC84" s="25"/>
      <c r="ID84" s="25"/>
      <c r="IE84" s="25"/>
      <c r="IF84" s="25"/>
      <c r="IG84" s="25"/>
      <c r="IH84" s="25"/>
      <c r="II84" s="25"/>
      <c r="IJ84" s="25"/>
      <c r="IK84" s="25"/>
      <c r="IL84" s="25"/>
      <c r="IM84" s="25"/>
      <c r="IN84" s="25"/>
      <c r="IO84" s="25"/>
      <c r="IP84" s="25"/>
      <c r="IQ84" s="25"/>
      <c r="IR84" s="25"/>
      <c r="IS84" s="25"/>
      <c r="IT84" s="25"/>
      <c r="IU84" s="25"/>
      <c r="IV84" s="25"/>
      <c r="IW84" s="25"/>
      <c r="IX84" s="25"/>
      <c r="IY84" s="25"/>
      <c r="IZ84" s="25"/>
      <c r="JA84" s="25"/>
      <c r="JB84" s="25"/>
      <c r="JC84" s="25"/>
      <c r="JD84" s="25"/>
      <c r="JE84" s="25"/>
      <c r="JF84" s="25"/>
      <c r="JG84" s="25"/>
      <c r="JH84" s="25"/>
      <c r="JI84" s="25"/>
      <c r="JJ84" s="25"/>
      <c r="JK84" s="25"/>
      <c r="JL84" s="25"/>
      <c r="JM84" s="25"/>
      <c r="JN84" s="25"/>
      <c r="JO84" s="25"/>
      <c r="JP84" s="25"/>
      <c r="JQ84" s="25"/>
      <c r="JR84" s="25"/>
      <c r="JS84" s="25"/>
      <c r="JT84" s="25"/>
      <c r="JU84" s="25"/>
      <c r="JV84" s="25"/>
      <c r="JW84" s="25"/>
      <c r="JX84" s="25"/>
      <c r="JY84" s="25"/>
      <c r="JZ84" s="25"/>
      <c r="KA84" s="25"/>
      <c r="KB84" s="25"/>
      <c r="KC84" s="25"/>
      <c r="KD84" s="25"/>
      <c r="KE84" s="25"/>
      <c r="KF84" s="25"/>
      <c r="KG84" s="25"/>
      <c r="KH84" s="25"/>
      <c r="KI84" s="25"/>
      <c r="KJ84" s="25"/>
      <c r="KK84" s="25"/>
      <c r="KL84" s="25"/>
      <c r="KM84" s="25"/>
      <c r="KN84" s="25"/>
      <c r="KO84" s="25"/>
      <c r="KP84" s="25"/>
      <c r="KQ84" s="25"/>
      <c r="KR84" s="25"/>
      <c r="KS84" s="25"/>
      <c r="KT84" s="25"/>
      <c r="KU84" s="25"/>
      <c r="KV84" s="25"/>
      <c r="KW84" s="25"/>
      <c r="KX84" s="25"/>
      <c r="KY84" s="25"/>
      <c r="KZ84" s="25"/>
      <c r="LA84" s="25"/>
      <c r="LB84" s="25"/>
      <c r="LC84" s="25"/>
      <c r="LD84" s="25"/>
      <c r="LE84" s="25"/>
      <c r="LF84" s="25"/>
      <c r="LG84" s="25"/>
      <c r="LH84" s="25"/>
      <c r="LI84" s="25"/>
      <c r="LJ84" s="25"/>
      <c r="LK84" s="25"/>
      <c r="LL84" s="25"/>
      <c r="LM84" s="25"/>
      <c r="LN84" s="25"/>
      <c r="LO84" s="25"/>
      <c r="LP84" s="25"/>
      <c r="LQ84" s="25"/>
      <c r="LR84" s="25"/>
      <c r="LS84" s="25"/>
      <c r="LT84" s="25"/>
      <c r="LU84" s="25"/>
      <c r="LV84" s="25"/>
      <c r="LW84" s="25"/>
      <c r="LX84" s="25"/>
      <c r="LY84" s="25"/>
      <c r="LZ84" s="25"/>
      <c r="MA84" s="25"/>
      <c r="MB84" s="25"/>
      <c r="MC84" s="25"/>
      <c r="MD84" s="25"/>
      <c r="ME84" s="25"/>
      <c r="MF84" s="25"/>
      <c r="MG84" s="25"/>
      <c r="MH84" s="25"/>
      <c r="MI84" s="25"/>
      <c r="MJ84" s="25"/>
      <c r="MK84" s="25"/>
      <c r="ML84" s="25"/>
      <c r="MM84" s="25"/>
      <c r="MN84" s="25"/>
      <c r="MO84" s="25"/>
      <c r="MP84" s="25"/>
      <c r="MQ84" s="25"/>
      <c r="MR84" s="25"/>
      <c r="MS84" s="25"/>
      <c r="MT84" s="25"/>
      <c r="MU84" s="25"/>
      <c r="MV84" s="25"/>
      <c r="MW84" s="25"/>
      <c r="MX84" s="25"/>
      <c r="MY84" s="25"/>
      <c r="MZ84" s="25"/>
      <c r="NA84" s="25"/>
      <c r="NB84" s="25"/>
      <c r="NC84" s="25"/>
      <c r="ND84" s="25"/>
      <c r="NE84" s="33"/>
    </row>
    <row r="85" spans="1:427" ht="13.5" customHeight="1" x14ac:dyDescent="0.2">
      <c r="A85" s="28" t="s">
        <v>95</v>
      </c>
      <c r="B85" s="22" t="s">
        <v>96</v>
      </c>
      <c r="C85" s="26"/>
      <c r="D85" s="44">
        <v>2</v>
      </c>
      <c r="E85" s="23" t="s">
        <v>97</v>
      </c>
      <c r="F85" s="24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  <c r="EX85" s="25"/>
      <c r="EY85" s="25"/>
      <c r="EZ85" s="25"/>
      <c r="FA85" s="25"/>
      <c r="FB85" s="25"/>
      <c r="FC85" s="25"/>
      <c r="FD85" s="25"/>
      <c r="FE85" s="25"/>
      <c r="FF85" s="25"/>
      <c r="FG85" s="25"/>
      <c r="FH85" s="25"/>
      <c r="FI85" s="25"/>
      <c r="FJ85" s="25"/>
      <c r="FK85" s="25"/>
      <c r="FL85" s="25"/>
      <c r="FM85" s="25"/>
      <c r="FN85" s="25"/>
      <c r="FO85" s="25"/>
      <c r="FP85" s="25"/>
      <c r="FQ85" s="25"/>
      <c r="FR85" s="25"/>
      <c r="FS85" s="25"/>
      <c r="FT85" s="25"/>
      <c r="FU85" s="25"/>
      <c r="FV85" s="25"/>
      <c r="FW85" s="25"/>
      <c r="FX85" s="25"/>
      <c r="FY85" s="25"/>
      <c r="FZ85" s="25"/>
      <c r="GA85" s="25"/>
      <c r="GB85" s="25"/>
      <c r="GC85" s="25"/>
      <c r="GD85" s="25"/>
      <c r="GE85" s="25"/>
      <c r="GF85" s="25"/>
      <c r="GG85" s="25"/>
      <c r="GH85" s="25"/>
      <c r="GI85" s="25"/>
      <c r="GJ85" s="25"/>
      <c r="GK85" s="25"/>
      <c r="GL85" s="25"/>
      <c r="GM85" s="25"/>
      <c r="GN85" s="25"/>
      <c r="GO85" s="25"/>
      <c r="GP85" s="25"/>
      <c r="GQ85" s="25"/>
      <c r="GR85" s="25"/>
      <c r="GS85" s="25"/>
      <c r="GT85" s="25"/>
      <c r="GU85" s="25"/>
      <c r="GV85" s="25"/>
      <c r="GW85" s="25"/>
      <c r="GX85" s="25"/>
      <c r="GY85" s="25"/>
      <c r="GZ85" s="25"/>
      <c r="HA85" s="25"/>
      <c r="HB85" s="25"/>
      <c r="HC85" s="25"/>
      <c r="HD85" s="25"/>
      <c r="HE85" s="25"/>
      <c r="HF85" s="25"/>
      <c r="HG85" s="25"/>
      <c r="HH85" s="25"/>
      <c r="HI85" s="25"/>
      <c r="HJ85" s="25"/>
      <c r="HK85" s="25"/>
      <c r="HL85" s="25"/>
      <c r="HM85" s="25"/>
      <c r="HN85" s="25"/>
      <c r="HO85" s="25"/>
      <c r="HP85" s="25"/>
      <c r="HQ85" s="25"/>
      <c r="HR85" s="25"/>
      <c r="HS85" s="25"/>
      <c r="HT85" s="25"/>
      <c r="HU85" s="25"/>
      <c r="HV85" s="25"/>
      <c r="HW85" s="25"/>
      <c r="HX85" s="25"/>
      <c r="HY85" s="25"/>
      <c r="HZ85" s="25"/>
      <c r="IA85" s="25"/>
      <c r="IB85" s="25"/>
      <c r="IC85" s="25"/>
      <c r="ID85" s="25"/>
      <c r="IE85" s="25"/>
      <c r="IF85" s="25"/>
      <c r="IG85" s="25"/>
      <c r="IH85" s="25"/>
      <c r="II85" s="25"/>
      <c r="IJ85" s="25"/>
      <c r="IK85" s="25"/>
      <c r="IL85" s="25"/>
      <c r="IM85" s="25"/>
      <c r="IN85" s="25"/>
      <c r="IO85" s="25"/>
      <c r="IP85" s="25"/>
      <c r="IQ85" s="25"/>
      <c r="IR85" s="25"/>
      <c r="IS85" s="25"/>
      <c r="IT85" s="25"/>
      <c r="IU85" s="25"/>
      <c r="IV85" s="25"/>
      <c r="IW85" s="25"/>
      <c r="IX85" s="25"/>
      <c r="IY85" s="25"/>
      <c r="IZ85" s="25"/>
      <c r="JA85" s="25"/>
      <c r="JB85" s="25"/>
      <c r="JC85" s="25"/>
      <c r="JD85" s="25"/>
      <c r="JE85" s="25"/>
      <c r="JF85" s="25"/>
      <c r="JG85" s="25"/>
      <c r="JH85" s="25"/>
      <c r="JI85" s="25"/>
      <c r="JJ85" s="25"/>
      <c r="JK85" s="25"/>
      <c r="JL85" s="25"/>
      <c r="JM85" s="25"/>
      <c r="JN85" s="25"/>
      <c r="JO85" s="25"/>
      <c r="JP85" s="25"/>
      <c r="JQ85" s="25"/>
      <c r="JR85" s="25"/>
      <c r="JS85" s="25"/>
      <c r="JT85" s="25"/>
      <c r="JU85" s="25"/>
      <c r="JV85" s="25"/>
      <c r="JW85" s="25"/>
      <c r="JX85" s="25"/>
      <c r="JY85" s="25"/>
      <c r="JZ85" s="25"/>
      <c r="KA85" s="25"/>
      <c r="KB85" s="25"/>
      <c r="KC85" s="25"/>
      <c r="KD85" s="25"/>
      <c r="KE85" s="25"/>
      <c r="KF85" s="25"/>
      <c r="KG85" s="25"/>
      <c r="KH85" s="25"/>
      <c r="KI85" s="25"/>
      <c r="KJ85" s="25"/>
      <c r="KK85" s="25"/>
      <c r="KL85" s="25"/>
      <c r="KM85" s="25"/>
      <c r="KN85" s="25"/>
      <c r="KO85" s="25"/>
      <c r="KP85" s="25"/>
      <c r="KQ85" s="25"/>
      <c r="KR85" s="25"/>
      <c r="KS85" s="25"/>
      <c r="KT85" s="25"/>
      <c r="KU85" s="25"/>
      <c r="KV85" s="25"/>
      <c r="KW85" s="25"/>
      <c r="KX85" s="25"/>
      <c r="KY85" s="25"/>
      <c r="KZ85" s="25"/>
      <c r="LA85" s="25"/>
      <c r="LB85" s="25"/>
      <c r="LC85" s="25"/>
      <c r="LD85" s="25"/>
      <c r="LE85" s="25"/>
      <c r="LF85" s="25"/>
      <c r="LG85" s="25"/>
      <c r="LH85" s="25"/>
      <c r="LI85" s="25"/>
      <c r="LJ85" s="25"/>
      <c r="LK85" s="25"/>
      <c r="LL85" s="25"/>
      <c r="LM85" s="25"/>
      <c r="LN85" s="25"/>
      <c r="LO85" s="25"/>
      <c r="LP85" s="25"/>
      <c r="LQ85" s="25"/>
      <c r="LR85" s="25"/>
      <c r="LS85" s="25"/>
      <c r="LT85" s="25"/>
      <c r="LU85" s="25"/>
      <c r="LV85" s="25"/>
      <c r="LW85" s="25"/>
      <c r="LX85" s="25"/>
      <c r="LY85" s="25"/>
      <c r="LZ85" s="25"/>
      <c r="MA85" s="25"/>
      <c r="MB85" s="25"/>
      <c r="MC85" s="25"/>
      <c r="MD85" s="25"/>
      <c r="ME85" s="25"/>
      <c r="MF85" s="25"/>
      <c r="MG85" s="25"/>
      <c r="MH85" s="25"/>
      <c r="MI85" s="25"/>
      <c r="MJ85" s="25"/>
      <c r="MK85" s="25"/>
      <c r="ML85" s="25"/>
      <c r="MM85" s="25"/>
      <c r="MN85" s="25"/>
      <c r="MO85" s="25"/>
      <c r="MP85" s="25"/>
      <c r="MQ85" s="25"/>
      <c r="MR85" s="25"/>
      <c r="MS85" s="25"/>
      <c r="MT85" s="25"/>
      <c r="MU85" s="25"/>
      <c r="MV85" s="25"/>
      <c r="MW85" s="25"/>
      <c r="MX85" s="25"/>
      <c r="MY85" s="25"/>
      <c r="MZ85" s="25"/>
      <c r="NA85" s="25"/>
      <c r="NB85" s="25"/>
      <c r="NC85" s="25"/>
      <c r="ND85" s="25"/>
      <c r="NE85" s="33"/>
      <c r="OG85" s="18">
        <v>1</v>
      </c>
      <c r="OH85" s="18">
        <v>43336</v>
      </c>
      <c r="OI85" s="18">
        <v>43388</v>
      </c>
      <c r="PJ85" s="20" t="s">
        <v>11</v>
      </c>
      <c r="PK85" s="20">
        <v>106</v>
      </c>
    </row>
    <row r="86" spans="1:427" ht="0.75" customHeight="1" x14ac:dyDescent="0.2">
      <c r="A86" s="28" t="s">
        <v>74</v>
      </c>
      <c r="B86" s="22"/>
      <c r="C86" s="22"/>
      <c r="D86" s="44"/>
      <c r="E86" s="23"/>
      <c r="F86" s="24" t="s">
        <v>10</v>
      </c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  <c r="EX86" s="25"/>
      <c r="EY86" s="25"/>
      <c r="EZ86" s="25"/>
      <c r="FA86" s="25"/>
      <c r="FB86" s="25"/>
      <c r="FC86" s="25"/>
      <c r="FD86" s="25"/>
      <c r="FE86" s="25"/>
      <c r="FF86" s="25"/>
      <c r="FG86" s="25"/>
      <c r="FH86" s="25"/>
      <c r="FI86" s="25"/>
      <c r="FJ86" s="25"/>
      <c r="FK86" s="25"/>
      <c r="FL86" s="25"/>
      <c r="FM86" s="25"/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25"/>
      <c r="GM86" s="25"/>
      <c r="GN86" s="25"/>
      <c r="GO86" s="25"/>
      <c r="GP86" s="25"/>
      <c r="GQ86" s="25"/>
      <c r="GR86" s="25"/>
      <c r="GS86" s="25"/>
      <c r="GT86" s="25"/>
      <c r="GU86" s="25"/>
      <c r="GV86" s="25"/>
      <c r="GW86" s="25"/>
      <c r="GX86" s="25"/>
      <c r="GY86" s="25"/>
      <c r="GZ86" s="25"/>
      <c r="HA86" s="25"/>
      <c r="HB86" s="25"/>
      <c r="HC86" s="25"/>
      <c r="HD86" s="25"/>
      <c r="HE86" s="25"/>
      <c r="HF86" s="25"/>
      <c r="HG86" s="25"/>
      <c r="HH86" s="25"/>
      <c r="HI86" s="25"/>
      <c r="HJ86" s="25"/>
      <c r="HK86" s="25"/>
      <c r="HL86" s="25"/>
      <c r="HM86" s="25"/>
      <c r="HN86" s="25"/>
      <c r="HO86" s="25"/>
      <c r="HP86" s="25"/>
      <c r="HQ86" s="25"/>
      <c r="HR86" s="25"/>
      <c r="HS86" s="25"/>
      <c r="HT86" s="25"/>
      <c r="HU86" s="25"/>
      <c r="HV86" s="25"/>
      <c r="HW86" s="25"/>
      <c r="HX86" s="25"/>
      <c r="HY86" s="25"/>
      <c r="HZ86" s="25"/>
      <c r="IA86" s="25"/>
      <c r="IB86" s="25"/>
      <c r="IC86" s="25"/>
      <c r="ID86" s="25"/>
      <c r="IE86" s="25"/>
      <c r="IF86" s="25"/>
      <c r="IG86" s="25"/>
      <c r="IH86" s="25"/>
      <c r="II86" s="25"/>
      <c r="IJ86" s="25"/>
      <c r="IK86" s="25"/>
      <c r="IL86" s="25"/>
      <c r="IM86" s="25"/>
      <c r="IN86" s="25"/>
      <c r="IO86" s="25"/>
      <c r="IP86" s="25"/>
      <c r="IQ86" s="25"/>
      <c r="IR86" s="25"/>
      <c r="IS86" s="25"/>
      <c r="IT86" s="25"/>
      <c r="IU86" s="25"/>
      <c r="IV86" s="25"/>
      <c r="IW86" s="25"/>
      <c r="IX86" s="25"/>
      <c r="IY86" s="25"/>
      <c r="IZ86" s="25"/>
      <c r="JA86" s="25"/>
      <c r="JB86" s="25"/>
      <c r="JC86" s="25"/>
      <c r="JD86" s="25"/>
      <c r="JE86" s="25"/>
      <c r="JF86" s="25"/>
      <c r="JG86" s="25"/>
      <c r="JH86" s="25"/>
      <c r="JI86" s="25"/>
      <c r="JJ86" s="25"/>
      <c r="JK86" s="25"/>
      <c r="JL86" s="25"/>
      <c r="JM86" s="25"/>
      <c r="JN86" s="25"/>
      <c r="JO86" s="25"/>
      <c r="JP86" s="25"/>
      <c r="JQ86" s="25"/>
      <c r="JR86" s="25"/>
      <c r="JS86" s="25"/>
      <c r="JT86" s="25"/>
      <c r="JU86" s="25"/>
      <c r="JV86" s="25"/>
      <c r="JW86" s="25"/>
      <c r="JX86" s="25"/>
      <c r="JY86" s="25"/>
      <c r="JZ86" s="25"/>
      <c r="KA86" s="25"/>
      <c r="KB86" s="25"/>
      <c r="KC86" s="25"/>
      <c r="KD86" s="25"/>
      <c r="KE86" s="25"/>
      <c r="KF86" s="25"/>
      <c r="KG86" s="25"/>
      <c r="KH86" s="25"/>
      <c r="KI86" s="25"/>
      <c r="KJ86" s="25"/>
      <c r="KK86" s="25"/>
      <c r="KL86" s="25"/>
      <c r="KM86" s="25"/>
      <c r="KN86" s="25"/>
      <c r="KO86" s="25"/>
      <c r="KP86" s="25"/>
      <c r="KQ86" s="25"/>
      <c r="KR86" s="25"/>
      <c r="KS86" s="25"/>
      <c r="KT86" s="25"/>
      <c r="KU86" s="25"/>
      <c r="KV86" s="25"/>
      <c r="KW86" s="25"/>
      <c r="KX86" s="25"/>
      <c r="KY86" s="25"/>
      <c r="KZ86" s="25"/>
      <c r="LA86" s="25"/>
      <c r="LB86" s="25"/>
      <c r="LC86" s="25"/>
      <c r="LD86" s="25"/>
      <c r="LE86" s="25"/>
      <c r="LF86" s="25"/>
      <c r="LG86" s="25"/>
      <c r="LH86" s="25"/>
      <c r="LI86" s="25"/>
      <c r="LJ86" s="25"/>
      <c r="LK86" s="25"/>
      <c r="LL86" s="25"/>
      <c r="LM86" s="25"/>
      <c r="LN86" s="25"/>
      <c r="LO86" s="25"/>
      <c r="LP86" s="25"/>
      <c r="LQ86" s="25"/>
      <c r="LR86" s="25"/>
      <c r="LS86" s="25"/>
      <c r="LT86" s="25"/>
      <c r="LU86" s="25"/>
      <c r="LV86" s="25"/>
      <c r="LW86" s="25"/>
      <c r="LX86" s="25"/>
      <c r="LY86" s="25"/>
      <c r="LZ86" s="25"/>
      <c r="MA86" s="25"/>
      <c r="MB86" s="25"/>
      <c r="MC86" s="25"/>
      <c r="MD86" s="25"/>
      <c r="ME86" s="25"/>
      <c r="MF86" s="25"/>
      <c r="MG86" s="25"/>
      <c r="MH86" s="25"/>
      <c r="MI86" s="25"/>
      <c r="MJ86" s="25"/>
      <c r="MK86" s="25"/>
      <c r="ML86" s="25"/>
      <c r="MM86" s="25"/>
      <c r="MN86" s="25"/>
      <c r="MO86" s="25"/>
      <c r="MP86" s="25"/>
      <c r="MQ86" s="25"/>
      <c r="MR86" s="25"/>
      <c r="MS86" s="25"/>
      <c r="MT86" s="25"/>
      <c r="MU86" s="25"/>
      <c r="MV86" s="25"/>
      <c r="MW86" s="25"/>
      <c r="MX86" s="25"/>
      <c r="MY86" s="25"/>
      <c r="MZ86" s="25"/>
      <c r="NA86" s="25"/>
      <c r="NB86" s="25"/>
      <c r="NC86" s="25"/>
      <c r="ND86" s="25"/>
      <c r="NE86" s="33"/>
    </row>
    <row r="87" spans="1:427" ht="13.5" customHeight="1" x14ac:dyDescent="0.2">
      <c r="A87" s="28" t="s">
        <v>98</v>
      </c>
      <c r="B87" s="22" t="s">
        <v>99</v>
      </c>
      <c r="C87" s="26"/>
      <c r="D87" s="44">
        <v>2</v>
      </c>
      <c r="E87" s="23" t="s">
        <v>100</v>
      </c>
      <c r="F87" s="24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  <c r="EX87" s="25"/>
      <c r="EY87" s="25"/>
      <c r="EZ87" s="25"/>
      <c r="FA87" s="25"/>
      <c r="FB87" s="25"/>
      <c r="FC87" s="25"/>
      <c r="FD87" s="25"/>
      <c r="FE87" s="25"/>
      <c r="FF87" s="25"/>
      <c r="FG87" s="25"/>
      <c r="FH87" s="25"/>
      <c r="FI87" s="25"/>
      <c r="FJ87" s="25"/>
      <c r="FK87" s="25"/>
      <c r="FL87" s="25"/>
      <c r="FM87" s="25"/>
      <c r="FN87" s="25"/>
      <c r="FO87" s="25"/>
      <c r="FP87" s="25"/>
      <c r="FQ87" s="25"/>
      <c r="FR87" s="25"/>
      <c r="FS87" s="25"/>
      <c r="FT87" s="25"/>
      <c r="FU87" s="25"/>
      <c r="FV87" s="25"/>
      <c r="FW87" s="25"/>
      <c r="FX87" s="25"/>
      <c r="FY87" s="25"/>
      <c r="FZ87" s="25"/>
      <c r="GA87" s="25"/>
      <c r="GB87" s="25"/>
      <c r="GC87" s="25"/>
      <c r="GD87" s="25"/>
      <c r="GE87" s="25"/>
      <c r="GF87" s="25"/>
      <c r="GG87" s="25"/>
      <c r="GH87" s="25"/>
      <c r="GI87" s="25"/>
      <c r="GJ87" s="25"/>
      <c r="GK87" s="25"/>
      <c r="GL87" s="25"/>
      <c r="GM87" s="25"/>
      <c r="GN87" s="25"/>
      <c r="GO87" s="25"/>
      <c r="GP87" s="25"/>
      <c r="GQ87" s="25"/>
      <c r="GR87" s="25"/>
      <c r="GS87" s="25"/>
      <c r="GT87" s="25"/>
      <c r="GU87" s="25"/>
      <c r="GV87" s="25"/>
      <c r="GW87" s="25"/>
      <c r="GX87" s="25"/>
      <c r="GY87" s="25"/>
      <c r="GZ87" s="25"/>
      <c r="HA87" s="25"/>
      <c r="HB87" s="25"/>
      <c r="HC87" s="25"/>
      <c r="HD87" s="25"/>
      <c r="HE87" s="25"/>
      <c r="HF87" s="25"/>
      <c r="HG87" s="25"/>
      <c r="HH87" s="25"/>
      <c r="HI87" s="25"/>
      <c r="HJ87" s="25"/>
      <c r="HK87" s="25"/>
      <c r="HL87" s="25"/>
      <c r="HM87" s="25"/>
      <c r="HN87" s="25"/>
      <c r="HO87" s="25"/>
      <c r="HP87" s="25"/>
      <c r="HQ87" s="25"/>
      <c r="HR87" s="25"/>
      <c r="HS87" s="25"/>
      <c r="HT87" s="25"/>
      <c r="HU87" s="25"/>
      <c r="HV87" s="25"/>
      <c r="HW87" s="25"/>
      <c r="HX87" s="25"/>
      <c r="HY87" s="25"/>
      <c r="HZ87" s="25"/>
      <c r="IA87" s="25"/>
      <c r="IB87" s="25"/>
      <c r="IC87" s="25"/>
      <c r="ID87" s="25"/>
      <c r="IE87" s="25"/>
      <c r="IF87" s="25"/>
      <c r="IG87" s="25"/>
      <c r="IH87" s="25"/>
      <c r="II87" s="25"/>
      <c r="IJ87" s="25"/>
      <c r="IK87" s="25"/>
      <c r="IL87" s="25"/>
      <c r="IM87" s="25"/>
      <c r="IN87" s="25"/>
      <c r="IO87" s="25"/>
      <c r="IP87" s="25"/>
      <c r="IQ87" s="25"/>
      <c r="IR87" s="25"/>
      <c r="IS87" s="25"/>
      <c r="IT87" s="25"/>
      <c r="IU87" s="25"/>
      <c r="IV87" s="25"/>
      <c r="IW87" s="25"/>
      <c r="IX87" s="25"/>
      <c r="IY87" s="25"/>
      <c r="IZ87" s="25"/>
      <c r="JA87" s="25"/>
      <c r="JB87" s="25"/>
      <c r="JC87" s="25"/>
      <c r="JD87" s="25"/>
      <c r="JE87" s="25"/>
      <c r="JF87" s="25"/>
      <c r="JG87" s="25"/>
      <c r="JH87" s="25"/>
      <c r="JI87" s="25"/>
      <c r="JJ87" s="25"/>
      <c r="JK87" s="25"/>
      <c r="JL87" s="25"/>
      <c r="JM87" s="25"/>
      <c r="JN87" s="25"/>
      <c r="JO87" s="25"/>
      <c r="JP87" s="25"/>
      <c r="JQ87" s="25"/>
      <c r="JR87" s="25"/>
      <c r="JS87" s="25"/>
      <c r="JT87" s="25"/>
      <c r="JU87" s="25"/>
      <c r="JV87" s="25"/>
      <c r="JW87" s="25"/>
      <c r="JX87" s="25"/>
      <c r="JY87" s="25"/>
      <c r="JZ87" s="25"/>
      <c r="KA87" s="25"/>
      <c r="KB87" s="25"/>
      <c r="KC87" s="25"/>
      <c r="KD87" s="25"/>
      <c r="KE87" s="25"/>
      <c r="KF87" s="25"/>
      <c r="KG87" s="25"/>
      <c r="KH87" s="25"/>
      <c r="KI87" s="25"/>
      <c r="KJ87" s="25"/>
      <c r="KK87" s="25"/>
      <c r="KL87" s="25"/>
      <c r="KM87" s="25"/>
      <c r="KN87" s="25"/>
      <c r="KO87" s="25"/>
      <c r="KP87" s="25"/>
      <c r="KQ87" s="25"/>
      <c r="KR87" s="25"/>
      <c r="KS87" s="25"/>
      <c r="KT87" s="25"/>
      <c r="KU87" s="25"/>
      <c r="KV87" s="25"/>
      <c r="KW87" s="25"/>
      <c r="KX87" s="25"/>
      <c r="KY87" s="25"/>
      <c r="KZ87" s="25"/>
      <c r="LA87" s="25"/>
      <c r="LB87" s="25"/>
      <c r="LC87" s="25"/>
      <c r="LD87" s="25"/>
      <c r="LE87" s="25"/>
      <c r="LF87" s="25"/>
      <c r="LG87" s="25"/>
      <c r="LH87" s="25"/>
      <c r="LI87" s="25"/>
      <c r="LJ87" s="25"/>
      <c r="LK87" s="25"/>
      <c r="LL87" s="25"/>
      <c r="LM87" s="25"/>
      <c r="LN87" s="25"/>
      <c r="LO87" s="25"/>
      <c r="LP87" s="25"/>
      <c r="LQ87" s="25"/>
      <c r="LR87" s="25"/>
      <c r="LS87" s="25"/>
      <c r="LT87" s="25"/>
      <c r="LU87" s="25"/>
      <c r="LV87" s="25"/>
      <c r="LW87" s="25"/>
      <c r="LX87" s="25"/>
      <c r="LY87" s="25"/>
      <c r="LZ87" s="25"/>
      <c r="MA87" s="25"/>
      <c r="MB87" s="25"/>
      <c r="MC87" s="25"/>
      <c r="MD87" s="25"/>
      <c r="ME87" s="25"/>
      <c r="MF87" s="25"/>
      <c r="MG87" s="25"/>
      <c r="MH87" s="25"/>
      <c r="MI87" s="25"/>
      <c r="MJ87" s="25"/>
      <c r="MK87" s="25"/>
      <c r="ML87" s="25"/>
      <c r="MM87" s="25"/>
      <c r="MN87" s="25"/>
      <c r="MO87" s="25"/>
      <c r="MP87" s="25"/>
      <c r="MQ87" s="25"/>
      <c r="MR87" s="25"/>
      <c r="MS87" s="25"/>
      <c r="MT87" s="25"/>
      <c r="MU87" s="25"/>
      <c r="MV87" s="25"/>
      <c r="MW87" s="25"/>
      <c r="MX87" s="25"/>
      <c r="MY87" s="25"/>
      <c r="MZ87" s="25"/>
      <c r="NA87" s="25"/>
      <c r="NB87" s="25"/>
      <c r="NC87" s="25"/>
      <c r="ND87" s="25"/>
      <c r="NE87" s="33"/>
      <c r="OG87" s="18">
        <v>1</v>
      </c>
      <c r="OH87" s="18">
        <v>43196</v>
      </c>
      <c r="OI87" s="18">
        <v>43248</v>
      </c>
      <c r="PJ87" s="20" t="s">
        <v>11</v>
      </c>
      <c r="PK87" s="20">
        <v>106</v>
      </c>
    </row>
    <row r="88" spans="1:427" ht="0.75" customHeight="1" x14ac:dyDescent="0.2">
      <c r="A88" s="28"/>
      <c r="B88" s="22"/>
      <c r="C88" s="22"/>
      <c r="D88" s="44"/>
      <c r="E88" s="23"/>
      <c r="F88" s="24" t="s">
        <v>10</v>
      </c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  <c r="EX88" s="25"/>
      <c r="EY88" s="25"/>
      <c r="EZ88" s="25"/>
      <c r="FA88" s="25"/>
      <c r="FB88" s="25"/>
      <c r="FC88" s="25"/>
      <c r="FD88" s="25"/>
      <c r="FE88" s="25"/>
      <c r="FF88" s="25"/>
      <c r="FG88" s="25"/>
      <c r="FH88" s="25"/>
      <c r="FI88" s="25"/>
      <c r="FJ88" s="25"/>
      <c r="FK88" s="25"/>
      <c r="FL88" s="25"/>
      <c r="FM88" s="25"/>
      <c r="FN88" s="25"/>
      <c r="FO88" s="25"/>
      <c r="FP88" s="25"/>
      <c r="FQ88" s="25"/>
      <c r="FR88" s="25"/>
      <c r="FS88" s="25"/>
      <c r="FT88" s="25"/>
      <c r="FU88" s="25"/>
      <c r="FV88" s="25"/>
      <c r="FW88" s="25"/>
      <c r="FX88" s="25"/>
      <c r="FY88" s="25"/>
      <c r="FZ88" s="25"/>
      <c r="GA88" s="25"/>
      <c r="GB88" s="25"/>
      <c r="GC88" s="25"/>
      <c r="GD88" s="25"/>
      <c r="GE88" s="25"/>
      <c r="GF88" s="25"/>
      <c r="GG88" s="25"/>
      <c r="GH88" s="25"/>
      <c r="GI88" s="25"/>
      <c r="GJ88" s="25"/>
      <c r="GK88" s="25"/>
      <c r="GL88" s="25"/>
      <c r="GM88" s="25"/>
      <c r="GN88" s="25"/>
      <c r="GO88" s="25"/>
      <c r="GP88" s="25"/>
      <c r="GQ88" s="25"/>
      <c r="GR88" s="25"/>
      <c r="GS88" s="25"/>
      <c r="GT88" s="25"/>
      <c r="GU88" s="25"/>
      <c r="GV88" s="25"/>
      <c r="GW88" s="25"/>
      <c r="GX88" s="25"/>
      <c r="GY88" s="25"/>
      <c r="GZ88" s="25"/>
      <c r="HA88" s="25"/>
      <c r="HB88" s="25"/>
      <c r="HC88" s="25"/>
      <c r="HD88" s="25"/>
      <c r="HE88" s="25"/>
      <c r="HF88" s="25"/>
      <c r="HG88" s="25"/>
      <c r="HH88" s="25"/>
      <c r="HI88" s="25"/>
      <c r="HJ88" s="25"/>
      <c r="HK88" s="25"/>
      <c r="HL88" s="25"/>
      <c r="HM88" s="25"/>
      <c r="HN88" s="25"/>
      <c r="HO88" s="25"/>
      <c r="HP88" s="25"/>
      <c r="HQ88" s="25"/>
      <c r="HR88" s="25"/>
      <c r="HS88" s="25"/>
      <c r="HT88" s="25"/>
      <c r="HU88" s="25"/>
      <c r="HV88" s="25"/>
      <c r="HW88" s="25"/>
      <c r="HX88" s="25"/>
      <c r="HY88" s="25"/>
      <c r="HZ88" s="25"/>
      <c r="IA88" s="25"/>
      <c r="IB88" s="25"/>
      <c r="IC88" s="25"/>
      <c r="ID88" s="25"/>
      <c r="IE88" s="25"/>
      <c r="IF88" s="25"/>
      <c r="IG88" s="25"/>
      <c r="IH88" s="25"/>
      <c r="II88" s="25"/>
      <c r="IJ88" s="25"/>
      <c r="IK88" s="25"/>
      <c r="IL88" s="25"/>
      <c r="IM88" s="25"/>
      <c r="IN88" s="25"/>
      <c r="IO88" s="25"/>
      <c r="IP88" s="25"/>
      <c r="IQ88" s="25"/>
      <c r="IR88" s="25"/>
      <c r="IS88" s="25"/>
      <c r="IT88" s="25"/>
      <c r="IU88" s="25"/>
      <c r="IV88" s="25"/>
      <c r="IW88" s="25"/>
      <c r="IX88" s="25"/>
      <c r="IY88" s="25"/>
      <c r="IZ88" s="25"/>
      <c r="JA88" s="25"/>
      <c r="JB88" s="25"/>
      <c r="JC88" s="25"/>
      <c r="JD88" s="25"/>
      <c r="JE88" s="25"/>
      <c r="JF88" s="25"/>
      <c r="JG88" s="25"/>
      <c r="JH88" s="25"/>
      <c r="JI88" s="25"/>
      <c r="JJ88" s="25"/>
      <c r="JK88" s="25"/>
      <c r="JL88" s="25"/>
      <c r="JM88" s="25"/>
      <c r="JN88" s="25"/>
      <c r="JO88" s="25"/>
      <c r="JP88" s="25"/>
      <c r="JQ88" s="25"/>
      <c r="JR88" s="25"/>
      <c r="JS88" s="25"/>
      <c r="JT88" s="25"/>
      <c r="JU88" s="25"/>
      <c r="JV88" s="25"/>
      <c r="JW88" s="25"/>
      <c r="JX88" s="25"/>
      <c r="JY88" s="25"/>
      <c r="JZ88" s="25"/>
      <c r="KA88" s="25"/>
      <c r="KB88" s="25"/>
      <c r="KC88" s="25"/>
      <c r="KD88" s="25"/>
      <c r="KE88" s="25"/>
      <c r="KF88" s="25"/>
      <c r="KG88" s="25"/>
      <c r="KH88" s="25"/>
      <c r="KI88" s="25"/>
      <c r="KJ88" s="25"/>
      <c r="KK88" s="25"/>
      <c r="KL88" s="25"/>
      <c r="KM88" s="25"/>
      <c r="KN88" s="25"/>
      <c r="KO88" s="25"/>
      <c r="KP88" s="25"/>
      <c r="KQ88" s="25"/>
      <c r="KR88" s="25"/>
      <c r="KS88" s="25"/>
      <c r="KT88" s="25"/>
      <c r="KU88" s="25"/>
      <c r="KV88" s="25"/>
      <c r="KW88" s="25"/>
      <c r="KX88" s="25"/>
      <c r="KY88" s="25"/>
      <c r="KZ88" s="25"/>
      <c r="LA88" s="25"/>
      <c r="LB88" s="25"/>
      <c r="LC88" s="25"/>
      <c r="LD88" s="25"/>
      <c r="LE88" s="25"/>
      <c r="LF88" s="25"/>
      <c r="LG88" s="25"/>
      <c r="LH88" s="25"/>
      <c r="LI88" s="25"/>
      <c r="LJ88" s="25"/>
      <c r="LK88" s="25"/>
      <c r="LL88" s="25"/>
      <c r="LM88" s="25"/>
      <c r="LN88" s="25"/>
      <c r="LO88" s="25"/>
      <c r="LP88" s="25"/>
      <c r="LQ88" s="25"/>
      <c r="LR88" s="25"/>
      <c r="LS88" s="25"/>
      <c r="LT88" s="25"/>
      <c r="LU88" s="25"/>
      <c r="LV88" s="25"/>
      <c r="LW88" s="25"/>
      <c r="LX88" s="25"/>
      <c r="LY88" s="25"/>
      <c r="LZ88" s="25"/>
      <c r="MA88" s="25"/>
      <c r="MB88" s="25"/>
      <c r="MC88" s="25"/>
      <c r="MD88" s="25"/>
      <c r="ME88" s="25"/>
      <c r="MF88" s="25"/>
      <c r="MG88" s="25"/>
      <c r="MH88" s="25"/>
      <c r="MI88" s="25"/>
      <c r="MJ88" s="25"/>
      <c r="MK88" s="25"/>
      <c r="ML88" s="25"/>
      <c r="MM88" s="25"/>
      <c r="MN88" s="25"/>
      <c r="MO88" s="25"/>
      <c r="MP88" s="25"/>
      <c r="MQ88" s="25"/>
      <c r="MR88" s="25"/>
      <c r="MS88" s="25"/>
      <c r="MT88" s="25"/>
      <c r="MU88" s="25"/>
      <c r="MV88" s="25"/>
      <c r="MW88" s="25"/>
      <c r="MX88" s="25"/>
      <c r="MY88" s="25"/>
      <c r="MZ88" s="25"/>
      <c r="NA88" s="25"/>
      <c r="NB88" s="25"/>
      <c r="NC88" s="25"/>
      <c r="ND88" s="25"/>
      <c r="NE88" s="33"/>
    </row>
    <row r="89" spans="1:427" ht="13.5" customHeight="1" x14ac:dyDescent="0.2">
      <c r="A89" s="28" t="s">
        <v>101</v>
      </c>
      <c r="B89" s="22" t="s">
        <v>102</v>
      </c>
      <c r="C89" s="26"/>
      <c r="D89" s="44">
        <v>2</v>
      </c>
      <c r="E89" s="23" t="s">
        <v>103</v>
      </c>
      <c r="F89" s="24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  <c r="EX89" s="25"/>
      <c r="EY89" s="25"/>
      <c r="EZ89" s="25"/>
      <c r="FA89" s="25"/>
      <c r="FB89" s="25"/>
      <c r="FC89" s="25"/>
      <c r="FD89" s="25"/>
      <c r="FE89" s="25"/>
      <c r="FF89" s="25"/>
      <c r="FG89" s="25"/>
      <c r="FH89" s="25"/>
      <c r="FI89" s="25"/>
      <c r="FJ89" s="25"/>
      <c r="FK89" s="25"/>
      <c r="FL89" s="25"/>
      <c r="FM89" s="25"/>
      <c r="FN89" s="25"/>
      <c r="FO89" s="25"/>
      <c r="FP89" s="25"/>
      <c r="FQ89" s="25"/>
      <c r="FR89" s="25"/>
      <c r="FS89" s="25"/>
      <c r="FT89" s="25"/>
      <c r="FU89" s="25"/>
      <c r="FV89" s="25"/>
      <c r="FW89" s="25"/>
      <c r="FX89" s="25"/>
      <c r="FY89" s="25"/>
      <c r="FZ89" s="25"/>
      <c r="GA89" s="25"/>
      <c r="GB89" s="25"/>
      <c r="GC89" s="25"/>
      <c r="GD89" s="25"/>
      <c r="GE89" s="25"/>
      <c r="GF89" s="25"/>
      <c r="GG89" s="25"/>
      <c r="GH89" s="25"/>
      <c r="GI89" s="25"/>
      <c r="GJ89" s="25"/>
      <c r="GK89" s="25"/>
      <c r="GL89" s="25"/>
      <c r="GM89" s="25"/>
      <c r="GN89" s="25"/>
      <c r="GO89" s="25"/>
      <c r="GP89" s="25"/>
      <c r="GQ89" s="25"/>
      <c r="GR89" s="25"/>
      <c r="GS89" s="25"/>
      <c r="GT89" s="25"/>
      <c r="GU89" s="25"/>
      <c r="GV89" s="25"/>
      <c r="GW89" s="25"/>
      <c r="GX89" s="25"/>
      <c r="GY89" s="25"/>
      <c r="GZ89" s="25"/>
      <c r="HA89" s="25"/>
      <c r="HB89" s="25"/>
      <c r="HC89" s="25"/>
      <c r="HD89" s="25"/>
      <c r="HE89" s="25"/>
      <c r="HF89" s="25"/>
      <c r="HG89" s="25"/>
      <c r="HH89" s="25"/>
      <c r="HI89" s="25"/>
      <c r="HJ89" s="25"/>
      <c r="HK89" s="25"/>
      <c r="HL89" s="25"/>
      <c r="HM89" s="25"/>
      <c r="HN89" s="25"/>
      <c r="HO89" s="25"/>
      <c r="HP89" s="25"/>
      <c r="HQ89" s="25"/>
      <c r="HR89" s="25"/>
      <c r="HS89" s="25"/>
      <c r="HT89" s="25"/>
      <c r="HU89" s="25"/>
      <c r="HV89" s="25"/>
      <c r="HW89" s="25"/>
      <c r="HX89" s="25"/>
      <c r="HY89" s="25"/>
      <c r="HZ89" s="25"/>
      <c r="IA89" s="25"/>
      <c r="IB89" s="25"/>
      <c r="IC89" s="25"/>
      <c r="ID89" s="25"/>
      <c r="IE89" s="25"/>
      <c r="IF89" s="25"/>
      <c r="IG89" s="25"/>
      <c r="IH89" s="25"/>
      <c r="II89" s="25"/>
      <c r="IJ89" s="25"/>
      <c r="IK89" s="25"/>
      <c r="IL89" s="25"/>
      <c r="IM89" s="25"/>
      <c r="IN89" s="25"/>
      <c r="IO89" s="25"/>
      <c r="IP89" s="25"/>
      <c r="IQ89" s="25"/>
      <c r="IR89" s="25"/>
      <c r="IS89" s="25"/>
      <c r="IT89" s="25"/>
      <c r="IU89" s="25"/>
      <c r="IV89" s="25"/>
      <c r="IW89" s="25"/>
      <c r="IX89" s="25"/>
      <c r="IY89" s="25"/>
      <c r="IZ89" s="25"/>
      <c r="JA89" s="25"/>
      <c r="JB89" s="25"/>
      <c r="JC89" s="25"/>
      <c r="JD89" s="25"/>
      <c r="JE89" s="25"/>
      <c r="JF89" s="25"/>
      <c r="JG89" s="25"/>
      <c r="JH89" s="25"/>
      <c r="JI89" s="25"/>
      <c r="JJ89" s="25"/>
      <c r="JK89" s="25"/>
      <c r="JL89" s="25"/>
      <c r="JM89" s="25"/>
      <c r="JN89" s="25"/>
      <c r="JO89" s="25"/>
      <c r="JP89" s="25"/>
      <c r="JQ89" s="25"/>
      <c r="JR89" s="25"/>
      <c r="JS89" s="25"/>
      <c r="JT89" s="25"/>
      <c r="JU89" s="25"/>
      <c r="JV89" s="25"/>
      <c r="JW89" s="25"/>
      <c r="JX89" s="25"/>
      <c r="JY89" s="25"/>
      <c r="JZ89" s="25"/>
      <c r="KA89" s="25"/>
      <c r="KB89" s="25"/>
      <c r="KC89" s="25"/>
      <c r="KD89" s="25"/>
      <c r="KE89" s="25"/>
      <c r="KF89" s="25"/>
      <c r="KG89" s="25"/>
      <c r="KH89" s="25"/>
      <c r="KI89" s="25"/>
      <c r="KJ89" s="25"/>
      <c r="KK89" s="25"/>
      <c r="KL89" s="25"/>
      <c r="KM89" s="25"/>
      <c r="KN89" s="25"/>
      <c r="KO89" s="25"/>
      <c r="KP89" s="25"/>
      <c r="KQ89" s="25"/>
      <c r="KR89" s="25"/>
      <c r="KS89" s="25"/>
      <c r="KT89" s="25"/>
      <c r="KU89" s="25"/>
      <c r="KV89" s="25"/>
      <c r="KW89" s="25"/>
      <c r="KX89" s="25"/>
      <c r="KY89" s="25"/>
      <c r="KZ89" s="25"/>
      <c r="LA89" s="25"/>
      <c r="LB89" s="25"/>
      <c r="LC89" s="25"/>
      <c r="LD89" s="25"/>
      <c r="LE89" s="25"/>
      <c r="LF89" s="25"/>
      <c r="LG89" s="25"/>
      <c r="LH89" s="25"/>
      <c r="LI89" s="25"/>
      <c r="LJ89" s="25"/>
      <c r="LK89" s="25"/>
      <c r="LL89" s="25"/>
      <c r="LM89" s="25"/>
      <c r="LN89" s="25"/>
      <c r="LO89" s="25"/>
      <c r="LP89" s="25"/>
      <c r="LQ89" s="25"/>
      <c r="LR89" s="25"/>
      <c r="LS89" s="25"/>
      <c r="LT89" s="25"/>
      <c r="LU89" s="25"/>
      <c r="LV89" s="25"/>
      <c r="LW89" s="25"/>
      <c r="LX89" s="25"/>
      <c r="LY89" s="25"/>
      <c r="LZ89" s="25"/>
      <c r="MA89" s="25"/>
      <c r="MB89" s="25"/>
      <c r="MC89" s="25"/>
      <c r="MD89" s="25"/>
      <c r="ME89" s="25"/>
      <c r="MF89" s="25"/>
      <c r="MG89" s="25"/>
      <c r="MH89" s="25"/>
      <c r="MI89" s="25"/>
      <c r="MJ89" s="25"/>
      <c r="MK89" s="25"/>
      <c r="ML89" s="25"/>
      <c r="MM89" s="25"/>
      <c r="MN89" s="25"/>
      <c r="MO89" s="25"/>
      <c r="MP89" s="25"/>
      <c r="MQ89" s="25"/>
      <c r="MR89" s="25"/>
      <c r="MS89" s="25"/>
      <c r="MT89" s="25"/>
      <c r="MU89" s="25"/>
      <c r="MV89" s="25"/>
      <c r="MW89" s="25"/>
      <c r="MX89" s="25"/>
      <c r="MY89" s="25"/>
      <c r="MZ89" s="25"/>
      <c r="NA89" s="25"/>
      <c r="NB89" s="25"/>
      <c r="NC89" s="25"/>
      <c r="ND89" s="25"/>
      <c r="NE89" s="33"/>
      <c r="OG89" s="18">
        <v>1</v>
      </c>
      <c r="OH89" s="18">
        <v>43336</v>
      </c>
      <c r="OI89" s="18">
        <v>43388</v>
      </c>
      <c r="PJ89" s="20" t="s">
        <v>11</v>
      </c>
      <c r="PK89" s="20">
        <v>106</v>
      </c>
    </row>
    <row r="90" spans="1:427" ht="0.75" customHeight="1" x14ac:dyDescent="0.2">
      <c r="A90" s="28" t="s">
        <v>74</v>
      </c>
      <c r="B90" s="22"/>
      <c r="C90" s="22"/>
      <c r="D90" s="44"/>
      <c r="E90" s="23"/>
      <c r="F90" s="24" t="s">
        <v>10</v>
      </c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  <c r="EX90" s="25"/>
      <c r="EY90" s="25"/>
      <c r="EZ90" s="25"/>
      <c r="FA90" s="25"/>
      <c r="FB90" s="25"/>
      <c r="FC90" s="25"/>
      <c r="FD90" s="25"/>
      <c r="FE90" s="25"/>
      <c r="FF90" s="25"/>
      <c r="FG90" s="25"/>
      <c r="FH90" s="25"/>
      <c r="FI90" s="25"/>
      <c r="FJ90" s="25"/>
      <c r="FK90" s="25"/>
      <c r="FL90" s="25"/>
      <c r="FM90" s="25"/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25"/>
      <c r="GM90" s="25"/>
      <c r="GN90" s="25"/>
      <c r="GO90" s="25"/>
      <c r="GP90" s="25"/>
      <c r="GQ90" s="25"/>
      <c r="GR90" s="25"/>
      <c r="GS90" s="25"/>
      <c r="GT90" s="25"/>
      <c r="GU90" s="25"/>
      <c r="GV90" s="25"/>
      <c r="GW90" s="25"/>
      <c r="GX90" s="25"/>
      <c r="GY90" s="25"/>
      <c r="GZ90" s="25"/>
      <c r="HA90" s="25"/>
      <c r="HB90" s="25"/>
      <c r="HC90" s="25"/>
      <c r="HD90" s="25"/>
      <c r="HE90" s="25"/>
      <c r="HF90" s="25"/>
      <c r="HG90" s="25"/>
      <c r="HH90" s="25"/>
      <c r="HI90" s="25"/>
      <c r="HJ90" s="25"/>
      <c r="HK90" s="25"/>
      <c r="HL90" s="25"/>
      <c r="HM90" s="25"/>
      <c r="HN90" s="25"/>
      <c r="HO90" s="25"/>
      <c r="HP90" s="25"/>
      <c r="HQ90" s="25"/>
      <c r="HR90" s="25"/>
      <c r="HS90" s="25"/>
      <c r="HT90" s="25"/>
      <c r="HU90" s="25"/>
      <c r="HV90" s="25"/>
      <c r="HW90" s="25"/>
      <c r="HX90" s="25"/>
      <c r="HY90" s="25"/>
      <c r="HZ90" s="25"/>
      <c r="IA90" s="25"/>
      <c r="IB90" s="25"/>
      <c r="IC90" s="25"/>
      <c r="ID90" s="25"/>
      <c r="IE90" s="25"/>
      <c r="IF90" s="25"/>
      <c r="IG90" s="25"/>
      <c r="IH90" s="25"/>
      <c r="II90" s="25"/>
      <c r="IJ90" s="25"/>
      <c r="IK90" s="25"/>
      <c r="IL90" s="25"/>
      <c r="IM90" s="25"/>
      <c r="IN90" s="25"/>
      <c r="IO90" s="25"/>
      <c r="IP90" s="25"/>
      <c r="IQ90" s="25"/>
      <c r="IR90" s="25"/>
      <c r="IS90" s="25"/>
      <c r="IT90" s="25"/>
      <c r="IU90" s="25"/>
      <c r="IV90" s="25"/>
      <c r="IW90" s="25"/>
      <c r="IX90" s="25"/>
      <c r="IY90" s="25"/>
      <c r="IZ90" s="25"/>
      <c r="JA90" s="25"/>
      <c r="JB90" s="25"/>
      <c r="JC90" s="25"/>
      <c r="JD90" s="25"/>
      <c r="JE90" s="25"/>
      <c r="JF90" s="25"/>
      <c r="JG90" s="25"/>
      <c r="JH90" s="25"/>
      <c r="JI90" s="25"/>
      <c r="JJ90" s="25"/>
      <c r="JK90" s="25"/>
      <c r="JL90" s="25"/>
      <c r="JM90" s="25"/>
      <c r="JN90" s="25"/>
      <c r="JO90" s="25"/>
      <c r="JP90" s="25"/>
      <c r="JQ90" s="25"/>
      <c r="JR90" s="25"/>
      <c r="JS90" s="25"/>
      <c r="JT90" s="25"/>
      <c r="JU90" s="25"/>
      <c r="JV90" s="25"/>
      <c r="JW90" s="25"/>
      <c r="JX90" s="25"/>
      <c r="JY90" s="25"/>
      <c r="JZ90" s="25"/>
      <c r="KA90" s="25"/>
      <c r="KB90" s="25"/>
      <c r="KC90" s="25"/>
      <c r="KD90" s="25"/>
      <c r="KE90" s="25"/>
      <c r="KF90" s="25"/>
      <c r="KG90" s="25"/>
      <c r="KH90" s="25"/>
      <c r="KI90" s="25"/>
      <c r="KJ90" s="25"/>
      <c r="KK90" s="25"/>
      <c r="KL90" s="25"/>
      <c r="KM90" s="25"/>
      <c r="KN90" s="25"/>
      <c r="KO90" s="25"/>
      <c r="KP90" s="25"/>
      <c r="KQ90" s="25"/>
      <c r="KR90" s="25"/>
      <c r="KS90" s="25"/>
      <c r="KT90" s="25"/>
      <c r="KU90" s="25"/>
      <c r="KV90" s="25"/>
      <c r="KW90" s="25"/>
      <c r="KX90" s="25"/>
      <c r="KY90" s="25"/>
      <c r="KZ90" s="25"/>
      <c r="LA90" s="25"/>
      <c r="LB90" s="25"/>
      <c r="LC90" s="25"/>
      <c r="LD90" s="25"/>
      <c r="LE90" s="25"/>
      <c r="LF90" s="25"/>
      <c r="LG90" s="25"/>
      <c r="LH90" s="25"/>
      <c r="LI90" s="25"/>
      <c r="LJ90" s="25"/>
      <c r="LK90" s="25"/>
      <c r="LL90" s="25"/>
      <c r="LM90" s="25"/>
      <c r="LN90" s="25"/>
      <c r="LO90" s="25"/>
      <c r="LP90" s="25"/>
      <c r="LQ90" s="25"/>
      <c r="LR90" s="25"/>
      <c r="LS90" s="25"/>
      <c r="LT90" s="25"/>
      <c r="LU90" s="25"/>
      <c r="LV90" s="25"/>
      <c r="LW90" s="25"/>
      <c r="LX90" s="25"/>
      <c r="LY90" s="25"/>
      <c r="LZ90" s="25"/>
      <c r="MA90" s="25"/>
      <c r="MB90" s="25"/>
      <c r="MC90" s="25"/>
      <c r="MD90" s="25"/>
      <c r="ME90" s="25"/>
      <c r="MF90" s="25"/>
      <c r="MG90" s="25"/>
      <c r="MH90" s="25"/>
      <c r="MI90" s="25"/>
      <c r="MJ90" s="25"/>
      <c r="MK90" s="25"/>
      <c r="ML90" s="25"/>
      <c r="MM90" s="25"/>
      <c r="MN90" s="25"/>
      <c r="MO90" s="25"/>
      <c r="MP90" s="25"/>
      <c r="MQ90" s="25"/>
      <c r="MR90" s="25"/>
      <c r="MS90" s="25"/>
      <c r="MT90" s="25"/>
      <c r="MU90" s="25"/>
      <c r="MV90" s="25"/>
      <c r="MW90" s="25"/>
      <c r="MX90" s="25"/>
      <c r="MY90" s="25"/>
      <c r="MZ90" s="25"/>
      <c r="NA90" s="25"/>
      <c r="NB90" s="25"/>
      <c r="NC90" s="25"/>
      <c r="ND90" s="25"/>
      <c r="NE90" s="33"/>
    </row>
    <row r="91" spans="1:427" ht="13.5" customHeight="1" x14ac:dyDescent="0.2">
      <c r="A91" s="28" t="s">
        <v>104</v>
      </c>
      <c r="B91" s="22" t="s">
        <v>105</v>
      </c>
      <c r="C91" s="26"/>
      <c r="D91" s="44">
        <v>2</v>
      </c>
      <c r="E91" s="23" t="s">
        <v>106</v>
      </c>
      <c r="F91" s="24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  <c r="EX91" s="25"/>
      <c r="EY91" s="25"/>
      <c r="EZ91" s="25"/>
      <c r="FA91" s="25"/>
      <c r="FB91" s="25"/>
      <c r="FC91" s="25"/>
      <c r="FD91" s="25"/>
      <c r="FE91" s="25"/>
      <c r="FF91" s="25"/>
      <c r="FG91" s="25"/>
      <c r="FH91" s="25"/>
      <c r="FI91" s="25"/>
      <c r="FJ91" s="25"/>
      <c r="FK91" s="25"/>
      <c r="FL91" s="25"/>
      <c r="FM91" s="25"/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25"/>
      <c r="GM91" s="25"/>
      <c r="GN91" s="25"/>
      <c r="GO91" s="25"/>
      <c r="GP91" s="25"/>
      <c r="GQ91" s="25"/>
      <c r="GR91" s="25"/>
      <c r="GS91" s="25"/>
      <c r="GT91" s="25"/>
      <c r="GU91" s="25"/>
      <c r="GV91" s="25"/>
      <c r="GW91" s="25"/>
      <c r="GX91" s="25"/>
      <c r="GY91" s="25"/>
      <c r="GZ91" s="25"/>
      <c r="HA91" s="25"/>
      <c r="HB91" s="25"/>
      <c r="HC91" s="25"/>
      <c r="HD91" s="25"/>
      <c r="HE91" s="25"/>
      <c r="HF91" s="25"/>
      <c r="HG91" s="25"/>
      <c r="HH91" s="25"/>
      <c r="HI91" s="25"/>
      <c r="HJ91" s="25"/>
      <c r="HK91" s="25"/>
      <c r="HL91" s="25"/>
      <c r="HM91" s="25"/>
      <c r="HN91" s="25"/>
      <c r="HO91" s="25"/>
      <c r="HP91" s="25"/>
      <c r="HQ91" s="25"/>
      <c r="HR91" s="25"/>
      <c r="HS91" s="25"/>
      <c r="HT91" s="25"/>
      <c r="HU91" s="25"/>
      <c r="HV91" s="25"/>
      <c r="HW91" s="25"/>
      <c r="HX91" s="25"/>
      <c r="HY91" s="25"/>
      <c r="HZ91" s="25"/>
      <c r="IA91" s="25"/>
      <c r="IB91" s="25"/>
      <c r="IC91" s="25"/>
      <c r="ID91" s="25"/>
      <c r="IE91" s="25"/>
      <c r="IF91" s="25"/>
      <c r="IG91" s="25"/>
      <c r="IH91" s="25"/>
      <c r="II91" s="25"/>
      <c r="IJ91" s="25"/>
      <c r="IK91" s="25"/>
      <c r="IL91" s="25"/>
      <c r="IM91" s="25"/>
      <c r="IN91" s="25"/>
      <c r="IO91" s="25"/>
      <c r="IP91" s="25"/>
      <c r="IQ91" s="25"/>
      <c r="IR91" s="25"/>
      <c r="IS91" s="25"/>
      <c r="IT91" s="25"/>
      <c r="IU91" s="25"/>
      <c r="IV91" s="25"/>
      <c r="IW91" s="25"/>
      <c r="IX91" s="25"/>
      <c r="IY91" s="25"/>
      <c r="IZ91" s="25"/>
      <c r="JA91" s="25"/>
      <c r="JB91" s="25"/>
      <c r="JC91" s="25"/>
      <c r="JD91" s="25"/>
      <c r="JE91" s="25"/>
      <c r="JF91" s="25"/>
      <c r="JG91" s="25"/>
      <c r="JH91" s="25"/>
      <c r="JI91" s="25"/>
      <c r="JJ91" s="25"/>
      <c r="JK91" s="25"/>
      <c r="JL91" s="25"/>
      <c r="JM91" s="25"/>
      <c r="JN91" s="25"/>
      <c r="JO91" s="25"/>
      <c r="JP91" s="25"/>
      <c r="JQ91" s="25"/>
      <c r="JR91" s="25"/>
      <c r="JS91" s="25"/>
      <c r="JT91" s="25"/>
      <c r="JU91" s="25"/>
      <c r="JV91" s="25"/>
      <c r="JW91" s="25"/>
      <c r="JX91" s="25"/>
      <c r="JY91" s="25"/>
      <c r="JZ91" s="25"/>
      <c r="KA91" s="25"/>
      <c r="KB91" s="25"/>
      <c r="KC91" s="25"/>
      <c r="KD91" s="25"/>
      <c r="KE91" s="25"/>
      <c r="KF91" s="25"/>
      <c r="KG91" s="25"/>
      <c r="KH91" s="25"/>
      <c r="KI91" s="25"/>
      <c r="KJ91" s="25"/>
      <c r="KK91" s="25"/>
      <c r="KL91" s="25"/>
      <c r="KM91" s="25"/>
      <c r="KN91" s="25"/>
      <c r="KO91" s="25"/>
      <c r="KP91" s="25"/>
      <c r="KQ91" s="25"/>
      <c r="KR91" s="25"/>
      <c r="KS91" s="25"/>
      <c r="KT91" s="25"/>
      <c r="KU91" s="25"/>
      <c r="KV91" s="25"/>
      <c r="KW91" s="25"/>
      <c r="KX91" s="25"/>
      <c r="KY91" s="25"/>
      <c r="KZ91" s="25"/>
      <c r="LA91" s="25"/>
      <c r="LB91" s="25"/>
      <c r="LC91" s="25"/>
      <c r="LD91" s="25"/>
      <c r="LE91" s="25"/>
      <c r="LF91" s="25"/>
      <c r="LG91" s="25"/>
      <c r="LH91" s="25"/>
      <c r="LI91" s="25"/>
      <c r="LJ91" s="25"/>
      <c r="LK91" s="25"/>
      <c r="LL91" s="25"/>
      <c r="LM91" s="25"/>
      <c r="LN91" s="25"/>
      <c r="LO91" s="25"/>
      <c r="LP91" s="25"/>
      <c r="LQ91" s="25"/>
      <c r="LR91" s="25"/>
      <c r="LS91" s="25"/>
      <c r="LT91" s="25"/>
      <c r="LU91" s="25"/>
      <c r="LV91" s="25"/>
      <c r="LW91" s="25"/>
      <c r="LX91" s="25"/>
      <c r="LY91" s="25"/>
      <c r="LZ91" s="25"/>
      <c r="MA91" s="25"/>
      <c r="MB91" s="25"/>
      <c r="MC91" s="25"/>
      <c r="MD91" s="25"/>
      <c r="ME91" s="25"/>
      <c r="MF91" s="25"/>
      <c r="MG91" s="25"/>
      <c r="MH91" s="25"/>
      <c r="MI91" s="25"/>
      <c r="MJ91" s="25"/>
      <c r="MK91" s="25"/>
      <c r="ML91" s="25"/>
      <c r="MM91" s="25"/>
      <c r="MN91" s="25"/>
      <c r="MO91" s="25"/>
      <c r="MP91" s="25"/>
      <c r="MQ91" s="25"/>
      <c r="MR91" s="25"/>
      <c r="MS91" s="25"/>
      <c r="MT91" s="25"/>
      <c r="MU91" s="25"/>
      <c r="MV91" s="25"/>
      <c r="MW91" s="25"/>
      <c r="MX91" s="25"/>
      <c r="MY91" s="25"/>
      <c r="MZ91" s="25"/>
      <c r="NA91" s="25"/>
      <c r="NB91" s="25"/>
      <c r="NC91" s="25"/>
      <c r="ND91" s="25"/>
      <c r="NE91" s="33"/>
      <c r="OG91" s="18">
        <v>1</v>
      </c>
      <c r="OH91" s="18">
        <v>43196</v>
      </c>
      <c r="OI91" s="18">
        <v>43248</v>
      </c>
      <c r="PJ91" s="20" t="s">
        <v>11</v>
      </c>
      <c r="PK91" s="20">
        <v>106</v>
      </c>
    </row>
    <row r="92" spans="1:427" ht="0.75" customHeight="1" x14ac:dyDescent="0.2">
      <c r="A92" s="28"/>
      <c r="B92" s="22"/>
      <c r="C92" s="22"/>
      <c r="D92" s="44"/>
      <c r="E92" s="23"/>
      <c r="F92" s="24" t="s">
        <v>10</v>
      </c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  <c r="EX92" s="25"/>
      <c r="EY92" s="25"/>
      <c r="EZ92" s="25"/>
      <c r="FA92" s="25"/>
      <c r="FB92" s="25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  <c r="GM92" s="25"/>
      <c r="GN92" s="25"/>
      <c r="GO92" s="25"/>
      <c r="GP92" s="25"/>
      <c r="GQ92" s="25"/>
      <c r="GR92" s="25"/>
      <c r="GS92" s="25"/>
      <c r="GT92" s="25"/>
      <c r="GU92" s="25"/>
      <c r="GV92" s="25"/>
      <c r="GW92" s="25"/>
      <c r="GX92" s="25"/>
      <c r="GY92" s="25"/>
      <c r="GZ92" s="25"/>
      <c r="HA92" s="25"/>
      <c r="HB92" s="25"/>
      <c r="HC92" s="25"/>
      <c r="HD92" s="25"/>
      <c r="HE92" s="25"/>
      <c r="HF92" s="25"/>
      <c r="HG92" s="25"/>
      <c r="HH92" s="25"/>
      <c r="HI92" s="25"/>
      <c r="HJ92" s="25"/>
      <c r="HK92" s="25"/>
      <c r="HL92" s="25"/>
      <c r="HM92" s="25"/>
      <c r="HN92" s="25"/>
      <c r="HO92" s="25"/>
      <c r="HP92" s="25"/>
      <c r="HQ92" s="25"/>
      <c r="HR92" s="25"/>
      <c r="HS92" s="25"/>
      <c r="HT92" s="25"/>
      <c r="HU92" s="25"/>
      <c r="HV92" s="25"/>
      <c r="HW92" s="25"/>
      <c r="HX92" s="25"/>
      <c r="HY92" s="25"/>
      <c r="HZ92" s="25"/>
      <c r="IA92" s="25"/>
      <c r="IB92" s="25"/>
      <c r="IC92" s="25"/>
      <c r="ID92" s="25"/>
      <c r="IE92" s="25"/>
      <c r="IF92" s="25"/>
      <c r="IG92" s="25"/>
      <c r="IH92" s="25"/>
      <c r="II92" s="25"/>
      <c r="IJ92" s="25"/>
      <c r="IK92" s="25"/>
      <c r="IL92" s="25"/>
      <c r="IM92" s="25"/>
      <c r="IN92" s="25"/>
      <c r="IO92" s="25"/>
      <c r="IP92" s="25"/>
      <c r="IQ92" s="25"/>
      <c r="IR92" s="25"/>
      <c r="IS92" s="25"/>
      <c r="IT92" s="25"/>
      <c r="IU92" s="25"/>
      <c r="IV92" s="25"/>
      <c r="IW92" s="25"/>
      <c r="IX92" s="25"/>
      <c r="IY92" s="25"/>
      <c r="IZ92" s="25"/>
      <c r="JA92" s="25"/>
      <c r="JB92" s="25"/>
      <c r="JC92" s="25"/>
      <c r="JD92" s="25"/>
      <c r="JE92" s="25"/>
      <c r="JF92" s="25"/>
      <c r="JG92" s="25"/>
      <c r="JH92" s="25"/>
      <c r="JI92" s="25"/>
      <c r="JJ92" s="25"/>
      <c r="JK92" s="25"/>
      <c r="JL92" s="25"/>
      <c r="JM92" s="25"/>
      <c r="JN92" s="25"/>
      <c r="JO92" s="25"/>
      <c r="JP92" s="25"/>
      <c r="JQ92" s="25"/>
      <c r="JR92" s="25"/>
      <c r="JS92" s="25"/>
      <c r="JT92" s="25"/>
      <c r="JU92" s="25"/>
      <c r="JV92" s="25"/>
      <c r="JW92" s="25"/>
      <c r="JX92" s="25"/>
      <c r="JY92" s="25"/>
      <c r="JZ92" s="25"/>
      <c r="KA92" s="25"/>
      <c r="KB92" s="25"/>
      <c r="KC92" s="25"/>
      <c r="KD92" s="25"/>
      <c r="KE92" s="25"/>
      <c r="KF92" s="25"/>
      <c r="KG92" s="25"/>
      <c r="KH92" s="25"/>
      <c r="KI92" s="25"/>
      <c r="KJ92" s="25"/>
      <c r="KK92" s="25"/>
      <c r="KL92" s="25"/>
      <c r="KM92" s="25"/>
      <c r="KN92" s="25"/>
      <c r="KO92" s="25"/>
      <c r="KP92" s="25"/>
      <c r="KQ92" s="25"/>
      <c r="KR92" s="25"/>
      <c r="KS92" s="25"/>
      <c r="KT92" s="25"/>
      <c r="KU92" s="25"/>
      <c r="KV92" s="25"/>
      <c r="KW92" s="25"/>
      <c r="KX92" s="25"/>
      <c r="KY92" s="25"/>
      <c r="KZ92" s="25"/>
      <c r="LA92" s="25"/>
      <c r="LB92" s="25"/>
      <c r="LC92" s="25"/>
      <c r="LD92" s="25"/>
      <c r="LE92" s="25"/>
      <c r="LF92" s="25"/>
      <c r="LG92" s="25"/>
      <c r="LH92" s="25"/>
      <c r="LI92" s="25"/>
      <c r="LJ92" s="25"/>
      <c r="LK92" s="25"/>
      <c r="LL92" s="25"/>
      <c r="LM92" s="25"/>
      <c r="LN92" s="25"/>
      <c r="LO92" s="25"/>
      <c r="LP92" s="25"/>
      <c r="LQ92" s="25"/>
      <c r="LR92" s="25"/>
      <c r="LS92" s="25"/>
      <c r="LT92" s="25"/>
      <c r="LU92" s="25"/>
      <c r="LV92" s="25"/>
      <c r="LW92" s="25"/>
      <c r="LX92" s="25"/>
      <c r="LY92" s="25"/>
      <c r="LZ92" s="25"/>
      <c r="MA92" s="25"/>
      <c r="MB92" s="25"/>
      <c r="MC92" s="25"/>
      <c r="MD92" s="25"/>
      <c r="ME92" s="25"/>
      <c r="MF92" s="25"/>
      <c r="MG92" s="25"/>
      <c r="MH92" s="25"/>
      <c r="MI92" s="25"/>
      <c r="MJ92" s="25"/>
      <c r="MK92" s="25"/>
      <c r="ML92" s="25"/>
      <c r="MM92" s="25"/>
      <c r="MN92" s="25"/>
      <c r="MO92" s="25"/>
      <c r="MP92" s="25"/>
      <c r="MQ92" s="25"/>
      <c r="MR92" s="25"/>
      <c r="MS92" s="25"/>
      <c r="MT92" s="25"/>
      <c r="MU92" s="25"/>
      <c r="MV92" s="25"/>
      <c r="MW92" s="25"/>
      <c r="MX92" s="25"/>
      <c r="MY92" s="25"/>
      <c r="MZ92" s="25"/>
      <c r="NA92" s="25"/>
      <c r="NB92" s="25"/>
      <c r="NC92" s="25"/>
      <c r="ND92" s="25"/>
      <c r="NE92" s="33"/>
    </row>
    <row r="93" spans="1:427" ht="13.5" customHeight="1" x14ac:dyDescent="0.2">
      <c r="A93" s="28"/>
      <c r="B93" s="22"/>
      <c r="C93" s="26"/>
      <c r="D93" s="44"/>
      <c r="E93" s="23"/>
      <c r="F93" s="24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  <c r="EX93" s="25"/>
      <c r="EY93" s="25"/>
      <c r="EZ93" s="25"/>
      <c r="FA93" s="25"/>
      <c r="FB93" s="25"/>
      <c r="FC93" s="25"/>
      <c r="FD93" s="25"/>
      <c r="FE93" s="25"/>
      <c r="FF93" s="25"/>
      <c r="FG93" s="25"/>
      <c r="FH93" s="25"/>
      <c r="FI93" s="25"/>
      <c r="FJ93" s="25"/>
      <c r="FK93" s="25"/>
      <c r="FL93" s="25"/>
      <c r="FM93" s="25"/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25"/>
      <c r="GM93" s="25"/>
      <c r="GN93" s="25"/>
      <c r="GO93" s="25"/>
      <c r="GP93" s="25"/>
      <c r="GQ93" s="25"/>
      <c r="GR93" s="25"/>
      <c r="GS93" s="25"/>
      <c r="GT93" s="25"/>
      <c r="GU93" s="25"/>
      <c r="GV93" s="25"/>
      <c r="GW93" s="25"/>
      <c r="GX93" s="25"/>
      <c r="GY93" s="25"/>
      <c r="GZ93" s="25"/>
      <c r="HA93" s="25"/>
      <c r="HB93" s="25"/>
      <c r="HC93" s="25"/>
      <c r="HD93" s="25"/>
      <c r="HE93" s="25"/>
      <c r="HF93" s="25"/>
      <c r="HG93" s="25"/>
      <c r="HH93" s="25"/>
      <c r="HI93" s="25"/>
      <c r="HJ93" s="25"/>
      <c r="HK93" s="25"/>
      <c r="HL93" s="25"/>
      <c r="HM93" s="25"/>
      <c r="HN93" s="25"/>
      <c r="HO93" s="25"/>
      <c r="HP93" s="25"/>
      <c r="HQ93" s="25"/>
      <c r="HR93" s="25"/>
      <c r="HS93" s="25"/>
      <c r="HT93" s="25"/>
      <c r="HU93" s="25"/>
      <c r="HV93" s="25"/>
      <c r="HW93" s="25"/>
      <c r="HX93" s="25"/>
      <c r="HY93" s="25"/>
      <c r="HZ93" s="25"/>
      <c r="IA93" s="25"/>
      <c r="IB93" s="25"/>
      <c r="IC93" s="25"/>
      <c r="ID93" s="25"/>
      <c r="IE93" s="25"/>
      <c r="IF93" s="25"/>
      <c r="IG93" s="25"/>
      <c r="IH93" s="25"/>
      <c r="II93" s="25"/>
      <c r="IJ93" s="25"/>
      <c r="IK93" s="25"/>
      <c r="IL93" s="25"/>
      <c r="IM93" s="25"/>
      <c r="IN93" s="25"/>
      <c r="IO93" s="25"/>
      <c r="IP93" s="25"/>
      <c r="IQ93" s="25"/>
      <c r="IR93" s="25"/>
      <c r="IS93" s="25"/>
      <c r="IT93" s="25"/>
      <c r="IU93" s="25"/>
      <c r="IV93" s="25"/>
      <c r="IW93" s="25"/>
      <c r="IX93" s="25"/>
      <c r="IY93" s="25"/>
      <c r="IZ93" s="25"/>
      <c r="JA93" s="25"/>
      <c r="JB93" s="25"/>
      <c r="JC93" s="25"/>
      <c r="JD93" s="25"/>
      <c r="JE93" s="25"/>
      <c r="JF93" s="25"/>
      <c r="JG93" s="25"/>
      <c r="JH93" s="25"/>
      <c r="JI93" s="25"/>
      <c r="JJ93" s="25"/>
      <c r="JK93" s="25"/>
      <c r="JL93" s="25"/>
      <c r="JM93" s="25"/>
      <c r="JN93" s="25"/>
      <c r="JO93" s="25"/>
      <c r="JP93" s="25"/>
      <c r="JQ93" s="25"/>
      <c r="JR93" s="25"/>
      <c r="JS93" s="25"/>
      <c r="JT93" s="25"/>
      <c r="JU93" s="25"/>
      <c r="JV93" s="25"/>
      <c r="JW93" s="25"/>
      <c r="JX93" s="25"/>
      <c r="JY93" s="25"/>
      <c r="JZ93" s="25"/>
      <c r="KA93" s="25"/>
      <c r="KB93" s="25"/>
      <c r="KC93" s="25"/>
      <c r="KD93" s="25"/>
      <c r="KE93" s="25"/>
      <c r="KF93" s="25"/>
      <c r="KG93" s="25"/>
      <c r="KH93" s="25"/>
      <c r="KI93" s="25"/>
      <c r="KJ93" s="25"/>
      <c r="KK93" s="25"/>
      <c r="KL93" s="25"/>
      <c r="KM93" s="25"/>
      <c r="KN93" s="25"/>
      <c r="KO93" s="25"/>
      <c r="KP93" s="25"/>
      <c r="KQ93" s="25"/>
      <c r="KR93" s="25"/>
      <c r="KS93" s="25"/>
      <c r="KT93" s="25"/>
      <c r="KU93" s="25"/>
      <c r="KV93" s="25"/>
      <c r="KW93" s="25"/>
      <c r="KX93" s="25"/>
      <c r="KY93" s="25"/>
      <c r="KZ93" s="25"/>
      <c r="LA93" s="25"/>
      <c r="LB93" s="25"/>
      <c r="LC93" s="25"/>
      <c r="LD93" s="25"/>
      <c r="LE93" s="25"/>
      <c r="LF93" s="25"/>
      <c r="LG93" s="25"/>
      <c r="LH93" s="25"/>
      <c r="LI93" s="25"/>
      <c r="LJ93" s="25"/>
      <c r="LK93" s="25"/>
      <c r="LL93" s="25"/>
      <c r="LM93" s="25"/>
      <c r="LN93" s="25"/>
      <c r="LO93" s="25"/>
      <c r="LP93" s="25"/>
      <c r="LQ93" s="25"/>
      <c r="LR93" s="25"/>
      <c r="LS93" s="25"/>
      <c r="LT93" s="25"/>
      <c r="LU93" s="25"/>
      <c r="LV93" s="25"/>
      <c r="LW93" s="25"/>
      <c r="LX93" s="25"/>
      <c r="LY93" s="25"/>
      <c r="LZ93" s="25"/>
      <c r="MA93" s="25"/>
      <c r="MB93" s="25"/>
      <c r="MC93" s="25"/>
      <c r="MD93" s="25"/>
      <c r="ME93" s="25"/>
      <c r="MF93" s="25"/>
      <c r="MG93" s="25"/>
      <c r="MH93" s="25"/>
      <c r="MI93" s="25"/>
      <c r="MJ93" s="25"/>
      <c r="MK93" s="25"/>
      <c r="ML93" s="25"/>
      <c r="MM93" s="25"/>
      <c r="MN93" s="25"/>
      <c r="MO93" s="25"/>
      <c r="MP93" s="25"/>
      <c r="MQ93" s="25"/>
      <c r="MR93" s="25"/>
      <c r="MS93" s="25"/>
      <c r="MT93" s="25"/>
      <c r="MU93" s="25"/>
      <c r="MV93" s="25"/>
      <c r="MW93" s="25"/>
      <c r="MX93" s="25"/>
      <c r="MY93" s="25"/>
      <c r="MZ93" s="25"/>
      <c r="NA93" s="25"/>
      <c r="NB93" s="25"/>
      <c r="NC93" s="25"/>
      <c r="ND93" s="25"/>
      <c r="NE93" s="33"/>
      <c r="OG93" s="18">
        <v>1</v>
      </c>
      <c r="OH93" s="18">
        <v>43336</v>
      </c>
      <c r="OI93" s="18">
        <v>43388</v>
      </c>
      <c r="PJ93" s="20" t="s">
        <v>11</v>
      </c>
      <c r="PK93" s="20">
        <v>106</v>
      </c>
    </row>
    <row r="94" spans="1:427" ht="0.75" customHeight="1" x14ac:dyDescent="0.2">
      <c r="A94" s="28"/>
      <c r="B94" s="22"/>
      <c r="C94" s="22"/>
      <c r="D94" s="44"/>
      <c r="E94" s="23"/>
      <c r="F94" s="24" t="s">
        <v>10</v>
      </c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  <c r="EX94" s="25"/>
      <c r="EY94" s="25"/>
      <c r="EZ94" s="25"/>
      <c r="FA94" s="25"/>
      <c r="FB94" s="25"/>
      <c r="FC94" s="25"/>
      <c r="FD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5"/>
      <c r="GT94" s="25"/>
      <c r="GU94" s="25"/>
      <c r="GV94" s="25"/>
      <c r="GW94" s="25"/>
      <c r="GX94" s="25"/>
      <c r="GY94" s="25"/>
      <c r="GZ94" s="25"/>
      <c r="HA94" s="25"/>
      <c r="HB94" s="25"/>
      <c r="HC94" s="25"/>
      <c r="HD94" s="25"/>
      <c r="HE94" s="25"/>
      <c r="HF94" s="25"/>
      <c r="HG94" s="25"/>
      <c r="HH94" s="25"/>
      <c r="HI94" s="25"/>
      <c r="HJ94" s="25"/>
      <c r="HK94" s="25"/>
      <c r="HL94" s="25"/>
      <c r="HM94" s="25"/>
      <c r="HN94" s="25"/>
      <c r="HO94" s="25"/>
      <c r="HP94" s="25"/>
      <c r="HQ94" s="25"/>
      <c r="HR94" s="25"/>
      <c r="HS94" s="25"/>
      <c r="HT94" s="25"/>
      <c r="HU94" s="25"/>
      <c r="HV94" s="25"/>
      <c r="HW94" s="25"/>
      <c r="HX94" s="25"/>
      <c r="HY94" s="25"/>
      <c r="HZ94" s="25"/>
      <c r="IA94" s="25"/>
      <c r="IB94" s="25"/>
      <c r="IC94" s="25"/>
      <c r="ID94" s="25"/>
      <c r="IE94" s="25"/>
      <c r="IF94" s="25"/>
      <c r="IG94" s="25"/>
      <c r="IH94" s="25"/>
      <c r="II94" s="25"/>
      <c r="IJ94" s="25"/>
      <c r="IK94" s="25"/>
      <c r="IL94" s="25"/>
      <c r="IM94" s="25"/>
      <c r="IN94" s="25"/>
      <c r="IO94" s="25"/>
      <c r="IP94" s="25"/>
      <c r="IQ94" s="25"/>
      <c r="IR94" s="25"/>
      <c r="IS94" s="25"/>
      <c r="IT94" s="25"/>
      <c r="IU94" s="25"/>
      <c r="IV94" s="25"/>
      <c r="IW94" s="25"/>
      <c r="IX94" s="25"/>
      <c r="IY94" s="25"/>
      <c r="IZ94" s="25"/>
      <c r="JA94" s="25"/>
      <c r="JB94" s="25"/>
      <c r="JC94" s="25"/>
      <c r="JD94" s="25"/>
      <c r="JE94" s="25"/>
      <c r="JF94" s="25"/>
      <c r="JG94" s="25"/>
      <c r="JH94" s="25"/>
      <c r="JI94" s="25"/>
      <c r="JJ94" s="25"/>
      <c r="JK94" s="25"/>
      <c r="JL94" s="25"/>
      <c r="JM94" s="25"/>
      <c r="JN94" s="25"/>
      <c r="JO94" s="25"/>
      <c r="JP94" s="25"/>
      <c r="JQ94" s="25"/>
      <c r="JR94" s="25"/>
      <c r="JS94" s="25"/>
      <c r="JT94" s="25"/>
      <c r="JU94" s="25"/>
      <c r="JV94" s="25"/>
      <c r="JW94" s="25"/>
      <c r="JX94" s="25"/>
      <c r="JY94" s="25"/>
      <c r="JZ94" s="25"/>
      <c r="KA94" s="25"/>
      <c r="KB94" s="25"/>
      <c r="KC94" s="25"/>
      <c r="KD94" s="25"/>
      <c r="KE94" s="25"/>
      <c r="KF94" s="25"/>
      <c r="KG94" s="25"/>
      <c r="KH94" s="25"/>
      <c r="KI94" s="25"/>
      <c r="KJ94" s="25"/>
      <c r="KK94" s="25"/>
      <c r="KL94" s="25"/>
      <c r="KM94" s="25"/>
      <c r="KN94" s="25"/>
      <c r="KO94" s="25"/>
      <c r="KP94" s="25"/>
      <c r="KQ94" s="25"/>
      <c r="KR94" s="25"/>
      <c r="KS94" s="25"/>
      <c r="KT94" s="25"/>
      <c r="KU94" s="25"/>
      <c r="KV94" s="25"/>
      <c r="KW94" s="25"/>
      <c r="KX94" s="25"/>
      <c r="KY94" s="25"/>
      <c r="KZ94" s="25"/>
      <c r="LA94" s="25"/>
      <c r="LB94" s="25"/>
      <c r="LC94" s="25"/>
      <c r="LD94" s="25"/>
      <c r="LE94" s="25"/>
      <c r="LF94" s="25"/>
      <c r="LG94" s="25"/>
      <c r="LH94" s="25"/>
      <c r="LI94" s="25"/>
      <c r="LJ94" s="25"/>
      <c r="LK94" s="25"/>
      <c r="LL94" s="25"/>
      <c r="LM94" s="25"/>
      <c r="LN94" s="25"/>
      <c r="LO94" s="25"/>
      <c r="LP94" s="25"/>
      <c r="LQ94" s="25"/>
      <c r="LR94" s="25"/>
      <c r="LS94" s="25"/>
      <c r="LT94" s="25"/>
      <c r="LU94" s="25"/>
      <c r="LV94" s="25"/>
      <c r="LW94" s="25"/>
      <c r="LX94" s="25"/>
      <c r="LY94" s="25"/>
      <c r="LZ94" s="25"/>
      <c r="MA94" s="25"/>
      <c r="MB94" s="25"/>
      <c r="MC94" s="25"/>
      <c r="MD94" s="25"/>
      <c r="ME94" s="25"/>
      <c r="MF94" s="25"/>
      <c r="MG94" s="25"/>
      <c r="MH94" s="25"/>
      <c r="MI94" s="25"/>
      <c r="MJ94" s="25"/>
      <c r="MK94" s="25"/>
      <c r="ML94" s="25"/>
      <c r="MM94" s="25"/>
      <c r="MN94" s="25"/>
      <c r="MO94" s="25"/>
      <c r="MP94" s="25"/>
      <c r="MQ94" s="25"/>
      <c r="MR94" s="25"/>
      <c r="MS94" s="25"/>
      <c r="MT94" s="25"/>
      <c r="MU94" s="25"/>
      <c r="MV94" s="25"/>
      <c r="MW94" s="25"/>
      <c r="MX94" s="25"/>
      <c r="MY94" s="25"/>
      <c r="MZ94" s="25"/>
      <c r="NA94" s="25"/>
      <c r="NB94" s="25"/>
      <c r="NC94" s="25"/>
      <c r="ND94" s="25"/>
      <c r="NE94" s="33"/>
    </row>
    <row r="95" spans="1:427" ht="13.5" customHeight="1" x14ac:dyDescent="0.2">
      <c r="A95" s="28"/>
      <c r="B95" s="22"/>
      <c r="C95" s="26"/>
      <c r="D95" s="44"/>
      <c r="E95" s="23"/>
      <c r="F95" s="24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  <c r="EX95" s="25"/>
      <c r="EY95" s="25"/>
      <c r="EZ95" s="25"/>
      <c r="FA95" s="25"/>
      <c r="FB95" s="25"/>
      <c r="FC95" s="25"/>
      <c r="FD95" s="25"/>
      <c r="FE95" s="25"/>
      <c r="FF95" s="25"/>
      <c r="FG95" s="25"/>
      <c r="FH95" s="25"/>
      <c r="FI95" s="25"/>
      <c r="FJ95" s="25"/>
      <c r="FK95" s="25"/>
      <c r="FL95" s="25"/>
      <c r="FM95" s="25"/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5"/>
      <c r="GT95" s="25"/>
      <c r="GU95" s="25"/>
      <c r="GV95" s="25"/>
      <c r="GW95" s="25"/>
      <c r="GX95" s="25"/>
      <c r="GY95" s="25"/>
      <c r="GZ95" s="25"/>
      <c r="HA95" s="25"/>
      <c r="HB95" s="25"/>
      <c r="HC95" s="25"/>
      <c r="HD95" s="25"/>
      <c r="HE95" s="25"/>
      <c r="HF95" s="25"/>
      <c r="HG95" s="25"/>
      <c r="HH95" s="25"/>
      <c r="HI95" s="25"/>
      <c r="HJ95" s="25"/>
      <c r="HK95" s="25"/>
      <c r="HL95" s="25"/>
      <c r="HM95" s="25"/>
      <c r="HN95" s="25"/>
      <c r="HO95" s="25"/>
      <c r="HP95" s="25"/>
      <c r="HQ95" s="25"/>
      <c r="HR95" s="25"/>
      <c r="HS95" s="25"/>
      <c r="HT95" s="25"/>
      <c r="HU95" s="25"/>
      <c r="HV95" s="25"/>
      <c r="HW95" s="25"/>
      <c r="HX95" s="25"/>
      <c r="HY95" s="25"/>
      <c r="HZ95" s="25"/>
      <c r="IA95" s="25"/>
      <c r="IB95" s="25"/>
      <c r="IC95" s="25"/>
      <c r="ID95" s="25"/>
      <c r="IE95" s="25"/>
      <c r="IF95" s="25"/>
      <c r="IG95" s="25"/>
      <c r="IH95" s="25"/>
      <c r="II95" s="25"/>
      <c r="IJ95" s="25"/>
      <c r="IK95" s="25"/>
      <c r="IL95" s="25"/>
      <c r="IM95" s="25"/>
      <c r="IN95" s="25"/>
      <c r="IO95" s="25"/>
      <c r="IP95" s="25"/>
      <c r="IQ95" s="25"/>
      <c r="IR95" s="25"/>
      <c r="IS95" s="25"/>
      <c r="IT95" s="25"/>
      <c r="IU95" s="25"/>
      <c r="IV95" s="25"/>
      <c r="IW95" s="25"/>
      <c r="IX95" s="25"/>
      <c r="IY95" s="25"/>
      <c r="IZ95" s="25"/>
      <c r="JA95" s="25"/>
      <c r="JB95" s="25"/>
      <c r="JC95" s="25"/>
      <c r="JD95" s="25"/>
      <c r="JE95" s="25"/>
      <c r="JF95" s="25"/>
      <c r="JG95" s="25"/>
      <c r="JH95" s="25"/>
      <c r="JI95" s="25"/>
      <c r="JJ95" s="25"/>
      <c r="JK95" s="25"/>
      <c r="JL95" s="25"/>
      <c r="JM95" s="25"/>
      <c r="JN95" s="25"/>
      <c r="JO95" s="25"/>
      <c r="JP95" s="25"/>
      <c r="JQ95" s="25"/>
      <c r="JR95" s="25"/>
      <c r="JS95" s="25"/>
      <c r="JT95" s="25"/>
      <c r="JU95" s="25"/>
      <c r="JV95" s="25"/>
      <c r="JW95" s="25"/>
      <c r="JX95" s="25"/>
      <c r="JY95" s="25"/>
      <c r="JZ95" s="25"/>
      <c r="KA95" s="25"/>
      <c r="KB95" s="25"/>
      <c r="KC95" s="25"/>
      <c r="KD95" s="25"/>
      <c r="KE95" s="25"/>
      <c r="KF95" s="25"/>
      <c r="KG95" s="25"/>
      <c r="KH95" s="25"/>
      <c r="KI95" s="25"/>
      <c r="KJ95" s="25"/>
      <c r="KK95" s="25"/>
      <c r="KL95" s="25"/>
      <c r="KM95" s="25"/>
      <c r="KN95" s="25"/>
      <c r="KO95" s="25"/>
      <c r="KP95" s="25"/>
      <c r="KQ95" s="25"/>
      <c r="KR95" s="25"/>
      <c r="KS95" s="25"/>
      <c r="KT95" s="25"/>
      <c r="KU95" s="25"/>
      <c r="KV95" s="25"/>
      <c r="KW95" s="25"/>
      <c r="KX95" s="25"/>
      <c r="KY95" s="25"/>
      <c r="KZ95" s="25"/>
      <c r="LA95" s="25"/>
      <c r="LB95" s="25"/>
      <c r="LC95" s="25"/>
      <c r="LD95" s="25"/>
      <c r="LE95" s="25"/>
      <c r="LF95" s="25"/>
      <c r="LG95" s="25"/>
      <c r="LH95" s="25"/>
      <c r="LI95" s="25"/>
      <c r="LJ95" s="25"/>
      <c r="LK95" s="25"/>
      <c r="LL95" s="25"/>
      <c r="LM95" s="25"/>
      <c r="LN95" s="25"/>
      <c r="LO95" s="25"/>
      <c r="LP95" s="25"/>
      <c r="LQ95" s="25"/>
      <c r="LR95" s="25"/>
      <c r="LS95" s="25"/>
      <c r="LT95" s="25"/>
      <c r="LU95" s="25"/>
      <c r="LV95" s="25"/>
      <c r="LW95" s="25"/>
      <c r="LX95" s="25"/>
      <c r="LY95" s="25"/>
      <c r="LZ95" s="25"/>
      <c r="MA95" s="25"/>
      <c r="MB95" s="25"/>
      <c r="MC95" s="25"/>
      <c r="MD95" s="25"/>
      <c r="ME95" s="25"/>
      <c r="MF95" s="25"/>
      <c r="MG95" s="25"/>
      <c r="MH95" s="25"/>
      <c r="MI95" s="25"/>
      <c r="MJ95" s="25"/>
      <c r="MK95" s="25"/>
      <c r="ML95" s="25"/>
      <c r="MM95" s="25"/>
      <c r="MN95" s="25"/>
      <c r="MO95" s="25"/>
      <c r="MP95" s="25"/>
      <c r="MQ95" s="25"/>
      <c r="MR95" s="25"/>
      <c r="MS95" s="25"/>
      <c r="MT95" s="25"/>
      <c r="MU95" s="25"/>
      <c r="MV95" s="25"/>
      <c r="MW95" s="25"/>
      <c r="MX95" s="25"/>
      <c r="MY95" s="25"/>
      <c r="MZ95" s="25"/>
      <c r="NA95" s="25"/>
      <c r="NB95" s="25"/>
      <c r="NC95" s="25"/>
      <c r="ND95" s="25"/>
      <c r="NE95" s="33"/>
      <c r="OG95" s="18">
        <v>1</v>
      </c>
      <c r="OH95" s="18">
        <v>43196</v>
      </c>
      <c r="OI95" s="18">
        <v>43248</v>
      </c>
      <c r="PJ95" s="20" t="s">
        <v>11</v>
      </c>
      <c r="PK95" s="20">
        <v>106</v>
      </c>
    </row>
    <row r="96" spans="1:427" ht="0.75" customHeight="1" x14ac:dyDescent="0.2">
      <c r="A96" s="28"/>
      <c r="B96" s="22"/>
      <c r="C96" s="22"/>
      <c r="D96" s="44"/>
      <c r="E96" s="23"/>
      <c r="F96" s="24" t="s">
        <v>10</v>
      </c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  <c r="EX96" s="25"/>
      <c r="EY96" s="25"/>
      <c r="EZ96" s="25"/>
      <c r="FA96" s="25"/>
      <c r="FB96" s="25"/>
      <c r="FC96" s="25"/>
      <c r="FD96" s="25"/>
      <c r="FE96" s="25"/>
      <c r="FF96" s="25"/>
      <c r="FG96" s="25"/>
      <c r="FH96" s="25"/>
      <c r="FI96" s="25"/>
      <c r="FJ96" s="25"/>
      <c r="FK96" s="25"/>
      <c r="FL96" s="25"/>
      <c r="FM96" s="25"/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5"/>
      <c r="GT96" s="25"/>
      <c r="GU96" s="25"/>
      <c r="GV96" s="25"/>
      <c r="GW96" s="25"/>
      <c r="GX96" s="25"/>
      <c r="GY96" s="25"/>
      <c r="GZ96" s="25"/>
      <c r="HA96" s="25"/>
      <c r="HB96" s="25"/>
      <c r="HC96" s="25"/>
      <c r="HD96" s="25"/>
      <c r="HE96" s="25"/>
      <c r="HF96" s="25"/>
      <c r="HG96" s="25"/>
      <c r="HH96" s="25"/>
      <c r="HI96" s="25"/>
      <c r="HJ96" s="25"/>
      <c r="HK96" s="25"/>
      <c r="HL96" s="25"/>
      <c r="HM96" s="25"/>
      <c r="HN96" s="25"/>
      <c r="HO96" s="25"/>
      <c r="HP96" s="25"/>
      <c r="HQ96" s="25"/>
      <c r="HR96" s="25"/>
      <c r="HS96" s="25"/>
      <c r="HT96" s="25"/>
      <c r="HU96" s="25"/>
      <c r="HV96" s="25"/>
      <c r="HW96" s="25"/>
      <c r="HX96" s="25"/>
      <c r="HY96" s="25"/>
      <c r="HZ96" s="25"/>
      <c r="IA96" s="25"/>
      <c r="IB96" s="25"/>
      <c r="IC96" s="25"/>
      <c r="ID96" s="25"/>
      <c r="IE96" s="25"/>
      <c r="IF96" s="25"/>
      <c r="IG96" s="25"/>
      <c r="IH96" s="25"/>
      <c r="II96" s="25"/>
      <c r="IJ96" s="25"/>
      <c r="IK96" s="25"/>
      <c r="IL96" s="25"/>
      <c r="IM96" s="25"/>
      <c r="IN96" s="25"/>
      <c r="IO96" s="25"/>
      <c r="IP96" s="25"/>
      <c r="IQ96" s="25"/>
      <c r="IR96" s="25"/>
      <c r="IS96" s="25"/>
      <c r="IT96" s="25"/>
      <c r="IU96" s="25"/>
      <c r="IV96" s="25"/>
      <c r="IW96" s="25"/>
      <c r="IX96" s="25"/>
      <c r="IY96" s="25"/>
      <c r="IZ96" s="25"/>
      <c r="JA96" s="25"/>
      <c r="JB96" s="25"/>
      <c r="JC96" s="25"/>
      <c r="JD96" s="25"/>
      <c r="JE96" s="25"/>
      <c r="JF96" s="25"/>
      <c r="JG96" s="25"/>
      <c r="JH96" s="25"/>
      <c r="JI96" s="25"/>
      <c r="JJ96" s="25"/>
      <c r="JK96" s="25"/>
      <c r="JL96" s="25"/>
      <c r="JM96" s="25"/>
      <c r="JN96" s="25"/>
      <c r="JO96" s="25"/>
      <c r="JP96" s="25"/>
      <c r="JQ96" s="25"/>
      <c r="JR96" s="25"/>
      <c r="JS96" s="25"/>
      <c r="JT96" s="25"/>
      <c r="JU96" s="25"/>
      <c r="JV96" s="25"/>
      <c r="JW96" s="25"/>
      <c r="JX96" s="25"/>
      <c r="JY96" s="25"/>
      <c r="JZ96" s="25"/>
      <c r="KA96" s="25"/>
      <c r="KB96" s="25"/>
      <c r="KC96" s="25"/>
      <c r="KD96" s="25"/>
      <c r="KE96" s="25"/>
      <c r="KF96" s="25"/>
      <c r="KG96" s="25"/>
      <c r="KH96" s="25"/>
      <c r="KI96" s="25"/>
      <c r="KJ96" s="25"/>
      <c r="KK96" s="25"/>
      <c r="KL96" s="25"/>
      <c r="KM96" s="25"/>
      <c r="KN96" s="25"/>
      <c r="KO96" s="25"/>
      <c r="KP96" s="25"/>
      <c r="KQ96" s="25"/>
      <c r="KR96" s="25"/>
      <c r="KS96" s="25"/>
      <c r="KT96" s="25"/>
      <c r="KU96" s="25"/>
      <c r="KV96" s="25"/>
      <c r="KW96" s="25"/>
      <c r="KX96" s="25"/>
      <c r="KY96" s="25"/>
      <c r="KZ96" s="25"/>
      <c r="LA96" s="25"/>
      <c r="LB96" s="25"/>
      <c r="LC96" s="25"/>
      <c r="LD96" s="25"/>
      <c r="LE96" s="25"/>
      <c r="LF96" s="25"/>
      <c r="LG96" s="25"/>
      <c r="LH96" s="25"/>
      <c r="LI96" s="25"/>
      <c r="LJ96" s="25"/>
      <c r="LK96" s="25"/>
      <c r="LL96" s="25"/>
      <c r="LM96" s="25"/>
      <c r="LN96" s="25"/>
      <c r="LO96" s="25"/>
      <c r="LP96" s="25"/>
      <c r="LQ96" s="25"/>
      <c r="LR96" s="25"/>
      <c r="LS96" s="25"/>
      <c r="LT96" s="25"/>
      <c r="LU96" s="25"/>
      <c r="LV96" s="25"/>
      <c r="LW96" s="25"/>
      <c r="LX96" s="25"/>
      <c r="LY96" s="25"/>
      <c r="LZ96" s="25"/>
      <c r="MA96" s="25"/>
      <c r="MB96" s="25"/>
      <c r="MC96" s="25"/>
      <c r="MD96" s="25"/>
      <c r="ME96" s="25"/>
      <c r="MF96" s="25"/>
      <c r="MG96" s="25"/>
      <c r="MH96" s="25"/>
      <c r="MI96" s="25"/>
      <c r="MJ96" s="25"/>
      <c r="MK96" s="25"/>
      <c r="ML96" s="25"/>
      <c r="MM96" s="25"/>
      <c r="MN96" s="25"/>
      <c r="MO96" s="25"/>
      <c r="MP96" s="25"/>
      <c r="MQ96" s="25"/>
      <c r="MR96" s="25"/>
      <c r="MS96" s="25"/>
      <c r="MT96" s="25"/>
      <c r="MU96" s="25"/>
      <c r="MV96" s="25"/>
      <c r="MW96" s="25"/>
      <c r="MX96" s="25"/>
      <c r="MY96" s="25"/>
      <c r="MZ96" s="25"/>
      <c r="NA96" s="25"/>
      <c r="NB96" s="25"/>
      <c r="NC96" s="25"/>
      <c r="ND96" s="25"/>
      <c r="NE96" s="33"/>
    </row>
    <row r="97" spans="1:427" ht="13.5" customHeight="1" x14ac:dyDescent="0.2">
      <c r="A97" s="28"/>
      <c r="B97" s="22"/>
      <c r="C97" s="26"/>
      <c r="D97" s="44"/>
      <c r="E97" s="23"/>
      <c r="F97" s="24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  <c r="EX97" s="25"/>
      <c r="EY97" s="25"/>
      <c r="EZ97" s="25"/>
      <c r="FA97" s="25"/>
      <c r="FB97" s="25"/>
      <c r="FC97" s="25"/>
      <c r="FD97" s="25"/>
      <c r="FE97" s="25"/>
      <c r="FF97" s="25"/>
      <c r="FG97" s="25"/>
      <c r="FH97" s="25"/>
      <c r="FI97" s="25"/>
      <c r="FJ97" s="25"/>
      <c r="FK97" s="25"/>
      <c r="FL97" s="25"/>
      <c r="FM97" s="25"/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5"/>
      <c r="GT97" s="25"/>
      <c r="GU97" s="25"/>
      <c r="GV97" s="25"/>
      <c r="GW97" s="25"/>
      <c r="GX97" s="25"/>
      <c r="GY97" s="25"/>
      <c r="GZ97" s="25"/>
      <c r="HA97" s="25"/>
      <c r="HB97" s="25"/>
      <c r="HC97" s="25"/>
      <c r="HD97" s="25"/>
      <c r="HE97" s="25"/>
      <c r="HF97" s="25"/>
      <c r="HG97" s="25"/>
      <c r="HH97" s="25"/>
      <c r="HI97" s="25"/>
      <c r="HJ97" s="25"/>
      <c r="HK97" s="25"/>
      <c r="HL97" s="25"/>
      <c r="HM97" s="25"/>
      <c r="HN97" s="25"/>
      <c r="HO97" s="25"/>
      <c r="HP97" s="25"/>
      <c r="HQ97" s="25"/>
      <c r="HR97" s="25"/>
      <c r="HS97" s="25"/>
      <c r="HT97" s="25"/>
      <c r="HU97" s="25"/>
      <c r="HV97" s="25"/>
      <c r="HW97" s="25"/>
      <c r="HX97" s="25"/>
      <c r="HY97" s="25"/>
      <c r="HZ97" s="25"/>
      <c r="IA97" s="25"/>
      <c r="IB97" s="25"/>
      <c r="IC97" s="25"/>
      <c r="ID97" s="25"/>
      <c r="IE97" s="25"/>
      <c r="IF97" s="25"/>
      <c r="IG97" s="25"/>
      <c r="IH97" s="25"/>
      <c r="II97" s="25"/>
      <c r="IJ97" s="25"/>
      <c r="IK97" s="25"/>
      <c r="IL97" s="25"/>
      <c r="IM97" s="25"/>
      <c r="IN97" s="25"/>
      <c r="IO97" s="25"/>
      <c r="IP97" s="25"/>
      <c r="IQ97" s="25"/>
      <c r="IR97" s="25"/>
      <c r="IS97" s="25"/>
      <c r="IT97" s="25"/>
      <c r="IU97" s="25"/>
      <c r="IV97" s="25"/>
      <c r="IW97" s="25"/>
      <c r="IX97" s="25"/>
      <c r="IY97" s="25"/>
      <c r="IZ97" s="25"/>
      <c r="JA97" s="25"/>
      <c r="JB97" s="25"/>
      <c r="JC97" s="25"/>
      <c r="JD97" s="25"/>
      <c r="JE97" s="25"/>
      <c r="JF97" s="25"/>
      <c r="JG97" s="25"/>
      <c r="JH97" s="25"/>
      <c r="JI97" s="25"/>
      <c r="JJ97" s="25"/>
      <c r="JK97" s="25"/>
      <c r="JL97" s="25"/>
      <c r="JM97" s="25"/>
      <c r="JN97" s="25"/>
      <c r="JO97" s="25"/>
      <c r="JP97" s="25"/>
      <c r="JQ97" s="25"/>
      <c r="JR97" s="25"/>
      <c r="JS97" s="25"/>
      <c r="JT97" s="25"/>
      <c r="JU97" s="25"/>
      <c r="JV97" s="25"/>
      <c r="JW97" s="25"/>
      <c r="JX97" s="25"/>
      <c r="JY97" s="25"/>
      <c r="JZ97" s="25"/>
      <c r="KA97" s="25"/>
      <c r="KB97" s="25"/>
      <c r="KC97" s="25"/>
      <c r="KD97" s="25"/>
      <c r="KE97" s="25"/>
      <c r="KF97" s="25"/>
      <c r="KG97" s="25"/>
      <c r="KH97" s="25"/>
      <c r="KI97" s="25"/>
      <c r="KJ97" s="25"/>
      <c r="KK97" s="25"/>
      <c r="KL97" s="25"/>
      <c r="KM97" s="25"/>
      <c r="KN97" s="25"/>
      <c r="KO97" s="25"/>
      <c r="KP97" s="25"/>
      <c r="KQ97" s="25"/>
      <c r="KR97" s="25"/>
      <c r="KS97" s="25"/>
      <c r="KT97" s="25"/>
      <c r="KU97" s="25"/>
      <c r="KV97" s="25"/>
      <c r="KW97" s="25"/>
      <c r="KX97" s="25"/>
      <c r="KY97" s="25"/>
      <c r="KZ97" s="25"/>
      <c r="LA97" s="25"/>
      <c r="LB97" s="25"/>
      <c r="LC97" s="25"/>
      <c r="LD97" s="25"/>
      <c r="LE97" s="25"/>
      <c r="LF97" s="25"/>
      <c r="LG97" s="25"/>
      <c r="LH97" s="25"/>
      <c r="LI97" s="25"/>
      <c r="LJ97" s="25"/>
      <c r="LK97" s="25"/>
      <c r="LL97" s="25"/>
      <c r="LM97" s="25"/>
      <c r="LN97" s="25"/>
      <c r="LO97" s="25"/>
      <c r="LP97" s="25"/>
      <c r="LQ97" s="25"/>
      <c r="LR97" s="25"/>
      <c r="LS97" s="25"/>
      <c r="LT97" s="25"/>
      <c r="LU97" s="25"/>
      <c r="LV97" s="25"/>
      <c r="LW97" s="25"/>
      <c r="LX97" s="25"/>
      <c r="LY97" s="25"/>
      <c r="LZ97" s="25"/>
      <c r="MA97" s="25"/>
      <c r="MB97" s="25"/>
      <c r="MC97" s="25"/>
      <c r="MD97" s="25"/>
      <c r="ME97" s="25"/>
      <c r="MF97" s="25"/>
      <c r="MG97" s="25"/>
      <c r="MH97" s="25"/>
      <c r="MI97" s="25"/>
      <c r="MJ97" s="25"/>
      <c r="MK97" s="25"/>
      <c r="ML97" s="25"/>
      <c r="MM97" s="25"/>
      <c r="MN97" s="25"/>
      <c r="MO97" s="25"/>
      <c r="MP97" s="25"/>
      <c r="MQ97" s="25"/>
      <c r="MR97" s="25"/>
      <c r="MS97" s="25"/>
      <c r="MT97" s="25"/>
      <c r="MU97" s="25"/>
      <c r="MV97" s="25"/>
      <c r="MW97" s="25"/>
      <c r="MX97" s="25"/>
      <c r="MY97" s="25"/>
      <c r="MZ97" s="25"/>
      <c r="NA97" s="25"/>
      <c r="NB97" s="25"/>
      <c r="NC97" s="25"/>
      <c r="ND97" s="25"/>
      <c r="NE97" s="33"/>
      <c r="OG97" s="18">
        <v>1</v>
      </c>
      <c r="OH97" s="18">
        <v>43336</v>
      </c>
      <c r="OI97" s="18">
        <v>43388</v>
      </c>
      <c r="PJ97" s="20" t="s">
        <v>11</v>
      </c>
      <c r="PK97" s="20">
        <v>106</v>
      </c>
    </row>
    <row r="98" spans="1:427" ht="0.75" customHeight="1" x14ac:dyDescent="0.2">
      <c r="A98" s="28"/>
      <c r="B98" s="22"/>
      <c r="C98" s="22"/>
      <c r="D98" s="44"/>
      <c r="E98" s="23"/>
      <c r="F98" s="24" t="s">
        <v>10</v>
      </c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  <c r="EX98" s="25"/>
      <c r="EY98" s="25"/>
      <c r="EZ98" s="25"/>
      <c r="FA98" s="25"/>
      <c r="FB98" s="25"/>
      <c r="FC98" s="25"/>
      <c r="FD98" s="25"/>
      <c r="FE98" s="25"/>
      <c r="FF98" s="25"/>
      <c r="FG98" s="25"/>
      <c r="FH98" s="25"/>
      <c r="FI98" s="25"/>
      <c r="FJ98" s="25"/>
      <c r="FK98" s="25"/>
      <c r="FL98" s="25"/>
      <c r="FM98" s="25"/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H98" s="25"/>
      <c r="II98" s="25"/>
      <c r="IJ98" s="25"/>
      <c r="IK98" s="25"/>
      <c r="IL98" s="25"/>
      <c r="IM98" s="25"/>
      <c r="IN98" s="25"/>
      <c r="IO98" s="25"/>
      <c r="IP98" s="25"/>
      <c r="IQ98" s="25"/>
      <c r="IR98" s="25"/>
      <c r="IS98" s="25"/>
      <c r="IT98" s="25"/>
      <c r="IU98" s="25"/>
      <c r="IV98" s="25"/>
      <c r="IW98" s="25"/>
      <c r="IX98" s="25"/>
      <c r="IY98" s="25"/>
      <c r="IZ98" s="25"/>
      <c r="JA98" s="25"/>
      <c r="JB98" s="25"/>
      <c r="JC98" s="25"/>
      <c r="JD98" s="25"/>
      <c r="JE98" s="25"/>
      <c r="JF98" s="25"/>
      <c r="JG98" s="25"/>
      <c r="JH98" s="25"/>
      <c r="JI98" s="25"/>
      <c r="JJ98" s="25"/>
      <c r="JK98" s="25"/>
      <c r="JL98" s="25"/>
      <c r="JM98" s="25"/>
      <c r="JN98" s="25"/>
      <c r="JO98" s="25"/>
      <c r="JP98" s="25"/>
      <c r="JQ98" s="25"/>
      <c r="JR98" s="25"/>
      <c r="JS98" s="25"/>
      <c r="JT98" s="25"/>
      <c r="JU98" s="25"/>
      <c r="JV98" s="25"/>
      <c r="JW98" s="25"/>
      <c r="JX98" s="25"/>
      <c r="JY98" s="25"/>
      <c r="JZ98" s="25"/>
      <c r="KA98" s="25"/>
      <c r="KB98" s="25"/>
      <c r="KC98" s="25"/>
      <c r="KD98" s="25"/>
      <c r="KE98" s="25"/>
      <c r="KF98" s="25"/>
      <c r="KG98" s="25"/>
      <c r="KH98" s="25"/>
      <c r="KI98" s="25"/>
      <c r="KJ98" s="25"/>
      <c r="KK98" s="25"/>
      <c r="KL98" s="25"/>
      <c r="KM98" s="25"/>
      <c r="KN98" s="25"/>
      <c r="KO98" s="25"/>
      <c r="KP98" s="25"/>
      <c r="KQ98" s="25"/>
      <c r="KR98" s="25"/>
      <c r="KS98" s="25"/>
      <c r="KT98" s="25"/>
      <c r="KU98" s="25"/>
      <c r="KV98" s="25"/>
      <c r="KW98" s="25"/>
      <c r="KX98" s="25"/>
      <c r="KY98" s="25"/>
      <c r="KZ98" s="25"/>
      <c r="LA98" s="25"/>
      <c r="LB98" s="25"/>
      <c r="LC98" s="25"/>
      <c r="LD98" s="25"/>
      <c r="LE98" s="25"/>
      <c r="LF98" s="25"/>
      <c r="LG98" s="25"/>
      <c r="LH98" s="25"/>
      <c r="LI98" s="25"/>
      <c r="LJ98" s="25"/>
      <c r="LK98" s="25"/>
      <c r="LL98" s="25"/>
      <c r="LM98" s="25"/>
      <c r="LN98" s="25"/>
      <c r="LO98" s="25"/>
      <c r="LP98" s="25"/>
      <c r="LQ98" s="25"/>
      <c r="LR98" s="25"/>
      <c r="LS98" s="25"/>
      <c r="LT98" s="25"/>
      <c r="LU98" s="25"/>
      <c r="LV98" s="25"/>
      <c r="LW98" s="25"/>
      <c r="LX98" s="25"/>
      <c r="LY98" s="25"/>
      <c r="LZ98" s="25"/>
      <c r="MA98" s="25"/>
      <c r="MB98" s="25"/>
      <c r="MC98" s="25"/>
      <c r="MD98" s="25"/>
      <c r="ME98" s="25"/>
      <c r="MF98" s="25"/>
      <c r="MG98" s="25"/>
      <c r="MH98" s="25"/>
      <c r="MI98" s="25"/>
      <c r="MJ98" s="25"/>
      <c r="MK98" s="25"/>
      <c r="ML98" s="25"/>
      <c r="MM98" s="25"/>
      <c r="MN98" s="25"/>
      <c r="MO98" s="25"/>
      <c r="MP98" s="25"/>
      <c r="MQ98" s="25"/>
      <c r="MR98" s="25"/>
      <c r="MS98" s="25"/>
      <c r="MT98" s="25"/>
      <c r="MU98" s="25"/>
      <c r="MV98" s="25"/>
      <c r="MW98" s="25"/>
      <c r="MX98" s="25"/>
      <c r="MY98" s="25"/>
      <c r="MZ98" s="25"/>
      <c r="NA98" s="25"/>
      <c r="NB98" s="25"/>
      <c r="NC98" s="25"/>
      <c r="ND98" s="25"/>
      <c r="NE98" s="33"/>
    </row>
    <row r="99" spans="1:427" ht="13.5" customHeight="1" x14ac:dyDescent="0.2">
      <c r="A99" s="28"/>
      <c r="B99" s="22"/>
      <c r="C99" s="26"/>
      <c r="D99" s="44"/>
      <c r="E99" s="23"/>
      <c r="F99" s="24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  <c r="HM99" s="25"/>
      <c r="HN99" s="25"/>
      <c r="HO99" s="25"/>
      <c r="HP99" s="25"/>
      <c r="HQ99" s="25"/>
      <c r="HR99" s="25"/>
      <c r="HS99" s="25"/>
      <c r="HT99" s="25"/>
      <c r="HU99" s="25"/>
      <c r="HV99" s="25"/>
      <c r="HW99" s="25"/>
      <c r="HX99" s="25"/>
      <c r="HY99" s="25"/>
      <c r="HZ99" s="25"/>
      <c r="IA99" s="25"/>
      <c r="IB99" s="25"/>
      <c r="IC99" s="25"/>
      <c r="ID99" s="25"/>
      <c r="IE99" s="25"/>
      <c r="IF99" s="25"/>
      <c r="IG99" s="25"/>
      <c r="IH99" s="25"/>
      <c r="II99" s="25"/>
      <c r="IJ99" s="25"/>
      <c r="IK99" s="25"/>
      <c r="IL99" s="25"/>
      <c r="IM99" s="25"/>
      <c r="IN99" s="25"/>
      <c r="IO99" s="25"/>
      <c r="IP99" s="25"/>
      <c r="IQ99" s="25"/>
      <c r="IR99" s="25"/>
      <c r="IS99" s="25"/>
      <c r="IT99" s="25"/>
      <c r="IU99" s="25"/>
      <c r="IV99" s="25"/>
      <c r="IW99" s="25"/>
      <c r="IX99" s="25"/>
      <c r="IY99" s="25"/>
      <c r="IZ99" s="25"/>
      <c r="JA99" s="25"/>
      <c r="JB99" s="25"/>
      <c r="JC99" s="25"/>
      <c r="JD99" s="25"/>
      <c r="JE99" s="25"/>
      <c r="JF99" s="25"/>
      <c r="JG99" s="25"/>
      <c r="JH99" s="25"/>
      <c r="JI99" s="25"/>
      <c r="JJ99" s="25"/>
      <c r="JK99" s="25"/>
      <c r="JL99" s="25"/>
      <c r="JM99" s="25"/>
      <c r="JN99" s="25"/>
      <c r="JO99" s="25"/>
      <c r="JP99" s="25"/>
      <c r="JQ99" s="25"/>
      <c r="JR99" s="25"/>
      <c r="JS99" s="25"/>
      <c r="JT99" s="25"/>
      <c r="JU99" s="25"/>
      <c r="JV99" s="25"/>
      <c r="JW99" s="25"/>
      <c r="JX99" s="25"/>
      <c r="JY99" s="25"/>
      <c r="JZ99" s="25"/>
      <c r="KA99" s="25"/>
      <c r="KB99" s="25"/>
      <c r="KC99" s="25"/>
      <c r="KD99" s="25"/>
      <c r="KE99" s="25"/>
      <c r="KF99" s="25"/>
      <c r="KG99" s="25"/>
      <c r="KH99" s="25"/>
      <c r="KI99" s="25"/>
      <c r="KJ99" s="25"/>
      <c r="KK99" s="25"/>
      <c r="KL99" s="25"/>
      <c r="KM99" s="25"/>
      <c r="KN99" s="25"/>
      <c r="KO99" s="25"/>
      <c r="KP99" s="25"/>
      <c r="KQ99" s="25"/>
      <c r="KR99" s="25"/>
      <c r="KS99" s="25"/>
      <c r="KT99" s="25"/>
      <c r="KU99" s="25"/>
      <c r="KV99" s="25"/>
      <c r="KW99" s="25"/>
      <c r="KX99" s="25"/>
      <c r="KY99" s="25"/>
      <c r="KZ99" s="25"/>
      <c r="LA99" s="25"/>
      <c r="LB99" s="25"/>
      <c r="LC99" s="25"/>
      <c r="LD99" s="25"/>
      <c r="LE99" s="25"/>
      <c r="LF99" s="25"/>
      <c r="LG99" s="25"/>
      <c r="LH99" s="25"/>
      <c r="LI99" s="25"/>
      <c r="LJ99" s="25"/>
      <c r="LK99" s="25"/>
      <c r="LL99" s="25"/>
      <c r="LM99" s="25"/>
      <c r="LN99" s="25"/>
      <c r="LO99" s="25"/>
      <c r="LP99" s="25"/>
      <c r="LQ99" s="25"/>
      <c r="LR99" s="25"/>
      <c r="LS99" s="25"/>
      <c r="LT99" s="25"/>
      <c r="LU99" s="25"/>
      <c r="LV99" s="25"/>
      <c r="LW99" s="25"/>
      <c r="LX99" s="25"/>
      <c r="LY99" s="25"/>
      <c r="LZ99" s="25"/>
      <c r="MA99" s="25"/>
      <c r="MB99" s="25"/>
      <c r="MC99" s="25"/>
      <c r="MD99" s="25"/>
      <c r="ME99" s="25"/>
      <c r="MF99" s="25"/>
      <c r="MG99" s="25"/>
      <c r="MH99" s="25"/>
      <c r="MI99" s="25"/>
      <c r="MJ99" s="25"/>
      <c r="MK99" s="25"/>
      <c r="ML99" s="25"/>
      <c r="MM99" s="25"/>
      <c r="MN99" s="25"/>
      <c r="MO99" s="25"/>
      <c r="MP99" s="25"/>
      <c r="MQ99" s="25"/>
      <c r="MR99" s="25"/>
      <c r="MS99" s="25"/>
      <c r="MT99" s="25"/>
      <c r="MU99" s="25"/>
      <c r="MV99" s="25"/>
      <c r="MW99" s="25"/>
      <c r="MX99" s="25"/>
      <c r="MY99" s="25"/>
      <c r="MZ99" s="25"/>
      <c r="NA99" s="25"/>
      <c r="NB99" s="25"/>
      <c r="NC99" s="25"/>
      <c r="ND99" s="25"/>
      <c r="NE99" s="33"/>
      <c r="OG99" s="18">
        <v>1</v>
      </c>
      <c r="OH99" s="18">
        <v>43196</v>
      </c>
      <c r="OI99" s="18">
        <v>43248</v>
      </c>
      <c r="PJ99" s="20" t="s">
        <v>11</v>
      </c>
      <c r="PK99" s="20">
        <v>106</v>
      </c>
    </row>
    <row r="100" spans="1:427" ht="0.75" customHeight="1" x14ac:dyDescent="0.2">
      <c r="A100" s="28"/>
      <c r="B100" s="22"/>
      <c r="C100" s="22"/>
      <c r="D100" s="44"/>
      <c r="E100" s="23"/>
      <c r="F100" s="24" t="s">
        <v>10</v>
      </c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H100" s="25"/>
      <c r="II100" s="25"/>
      <c r="IJ100" s="25"/>
      <c r="IK100" s="25"/>
      <c r="IL100" s="25"/>
      <c r="IM100" s="25"/>
      <c r="IN100" s="25"/>
      <c r="IO100" s="25"/>
      <c r="IP100" s="25"/>
      <c r="IQ100" s="25"/>
      <c r="IR100" s="25"/>
      <c r="IS100" s="25"/>
      <c r="IT100" s="25"/>
      <c r="IU100" s="25"/>
      <c r="IV100" s="25"/>
      <c r="IW100" s="25"/>
      <c r="IX100" s="25"/>
      <c r="IY100" s="25"/>
      <c r="IZ100" s="25"/>
      <c r="JA100" s="25"/>
      <c r="JB100" s="25"/>
      <c r="JC100" s="25"/>
      <c r="JD100" s="25"/>
      <c r="JE100" s="25"/>
      <c r="JF100" s="25"/>
      <c r="JG100" s="25"/>
      <c r="JH100" s="25"/>
      <c r="JI100" s="25"/>
      <c r="JJ100" s="25"/>
      <c r="JK100" s="25"/>
      <c r="JL100" s="25"/>
      <c r="JM100" s="25"/>
      <c r="JN100" s="25"/>
      <c r="JO100" s="25"/>
      <c r="JP100" s="25"/>
      <c r="JQ100" s="25"/>
      <c r="JR100" s="25"/>
      <c r="JS100" s="25"/>
      <c r="JT100" s="25"/>
      <c r="JU100" s="25"/>
      <c r="JV100" s="25"/>
      <c r="JW100" s="25"/>
      <c r="JX100" s="25"/>
      <c r="JY100" s="25"/>
      <c r="JZ100" s="25"/>
      <c r="KA100" s="25"/>
      <c r="KB100" s="25"/>
      <c r="KC100" s="25"/>
      <c r="KD100" s="25"/>
      <c r="KE100" s="25"/>
      <c r="KF100" s="25"/>
      <c r="KG100" s="25"/>
      <c r="KH100" s="25"/>
      <c r="KI100" s="25"/>
      <c r="KJ100" s="25"/>
      <c r="KK100" s="25"/>
      <c r="KL100" s="25"/>
      <c r="KM100" s="25"/>
      <c r="KN100" s="25"/>
      <c r="KO100" s="25"/>
      <c r="KP100" s="25"/>
      <c r="KQ100" s="25"/>
      <c r="KR100" s="25"/>
      <c r="KS100" s="25"/>
      <c r="KT100" s="25"/>
      <c r="KU100" s="25"/>
      <c r="KV100" s="25"/>
      <c r="KW100" s="25"/>
      <c r="KX100" s="25"/>
      <c r="KY100" s="25"/>
      <c r="KZ100" s="25"/>
      <c r="LA100" s="25"/>
      <c r="LB100" s="25"/>
      <c r="LC100" s="25"/>
      <c r="LD100" s="25"/>
      <c r="LE100" s="25"/>
      <c r="LF100" s="25"/>
      <c r="LG100" s="25"/>
      <c r="LH100" s="25"/>
      <c r="LI100" s="25"/>
      <c r="LJ100" s="25"/>
      <c r="LK100" s="25"/>
      <c r="LL100" s="25"/>
      <c r="LM100" s="25"/>
      <c r="LN100" s="25"/>
      <c r="LO100" s="25"/>
      <c r="LP100" s="25"/>
      <c r="LQ100" s="25"/>
      <c r="LR100" s="25"/>
      <c r="LS100" s="25"/>
      <c r="LT100" s="25"/>
      <c r="LU100" s="25"/>
      <c r="LV100" s="25"/>
      <c r="LW100" s="25"/>
      <c r="LX100" s="25"/>
      <c r="LY100" s="25"/>
      <c r="LZ100" s="25"/>
      <c r="MA100" s="25"/>
      <c r="MB100" s="25"/>
      <c r="MC100" s="25"/>
      <c r="MD100" s="25"/>
      <c r="ME100" s="25"/>
      <c r="MF100" s="25"/>
      <c r="MG100" s="25"/>
      <c r="MH100" s="25"/>
      <c r="MI100" s="25"/>
      <c r="MJ100" s="25"/>
      <c r="MK100" s="25"/>
      <c r="ML100" s="25"/>
      <c r="MM100" s="25"/>
      <c r="MN100" s="25"/>
      <c r="MO100" s="25"/>
      <c r="MP100" s="25"/>
      <c r="MQ100" s="25"/>
      <c r="MR100" s="25"/>
      <c r="MS100" s="25"/>
      <c r="MT100" s="25"/>
      <c r="MU100" s="25"/>
      <c r="MV100" s="25"/>
      <c r="MW100" s="25"/>
      <c r="MX100" s="25"/>
      <c r="MY100" s="25"/>
      <c r="MZ100" s="25"/>
      <c r="NA100" s="25"/>
      <c r="NB100" s="25"/>
      <c r="NC100" s="25"/>
      <c r="ND100" s="25"/>
      <c r="NE100" s="33"/>
    </row>
    <row r="101" spans="1:427" ht="13.5" customHeight="1" x14ac:dyDescent="0.2">
      <c r="A101" s="28"/>
      <c r="B101" s="22"/>
      <c r="C101" s="26"/>
      <c r="D101" s="44"/>
      <c r="E101" s="23"/>
      <c r="F101" s="24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33"/>
      <c r="OG101" s="18">
        <v>1</v>
      </c>
      <c r="OH101" s="18">
        <v>43336</v>
      </c>
      <c r="OI101" s="18">
        <v>43388</v>
      </c>
      <c r="PJ101" s="20" t="s">
        <v>11</v>
      </c>
      <c r="PK101" s="20">
        <v>106</v>
      </c>
    </row>
    <row r="102" spans="1:427" ht="0.75" customHeight="1" x14ac:dyDescent="0.2">
      <c r="A102" s="28"/>
      <c r="B102" s="22"/>
      <c r="C102" s="22"/>
      <c r="D102" s="44"/>
      <c r="E102" s="23"/>
      <c r="F102" s="24" t="s">
        <v>10</v>
      </c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33"/>
    </row>
    <row r="103" spans="1:427" ht="13.5" customHeight="1" x14ac:dyDescent="0.2">
      <c r="A103" s="28"/>
      <c r="B103" s="22"/>
      <c r="C103" s="26"/>
      <c r="D103" s="44"/>
      <c r="E103" s="23"/>
      <c r="F103" s="24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33"/>
      <c r="OG103" s="18">
        <v>1</v>
      </c>
      <c r="OH103" s="18">
        <v>43196</v>
      </c>
      <c r="OI103" s="18">
        <v>43248</v>
      </c>
      <c r="PJ103" s="20" t="s">
        <v>11</v>
      </c>
      <c r="PK103" s="20">
        <v>106</v>
      </c>
    </row>
    <row r="104" spans="1:427" ht="0.75" customHeight="1" x14ac:dyDescent="0.2">
      <c r="A104" s="28"/>
      <c r="B104" s="22"/>
      <c r="C104" s="22"/>
      <c r="D104" s="44"/>
      <c r="E104" s="23"/>
      <c r="F104" s="24" t="s">
        <v>10</v>
      </c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33"/>
    </row>
    <row r="105" spans="1:427" ht="13.5" customHeight="1" x14ac:dyDescent="0.2">
      <c r="A105" s="28"/>
      <c r="B105" s="22"/>
      <c r="C105" s="26"/>
      <c r="D105" s="44"/>
      <c r="E105" s="23"/>
      <c r="F105" s="24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33"/>
      <c r="OG105" s="18">
        <v>1</v>
      </c>
      <c r="OH105" s="18">
        <v>43336</v>
      </c>
      <c r="OI105" s="18">
        <v>43388</v>
      </c>
      <c r="PJ105" s="20" t="s">
        <v>11</v>
      </c>
      <c r="PK105" s="20">
        <v>106</v>
      </c>
    </row>
    <row r="106" spans="1:427" ht="0.75" customHeight="1" x14ac:dyDescent="0.2">
      <c r="A106" s="28"/>
      <c r="B106" s="22"/>
      <c r="C106" s="22"/>
      <c r="D106" s="44"/>
      <c r="E106" s="23"/>
      <c r="F106" s="24" t="s">
        <v>10</v>
      </c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33"/>
    </row>
    <row r="107" spans="1:427" ht="13.5" customHeight="1" x14ac:dyDescent="0.2">
      <c r="A107" s="28"/>
      <c r="B107" s="22"/>
      <c r="C107" s="26"/>
      <c r="D107" s="44"/>
      <c r="E107" s="23"/>
      <c r="F107" s="24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  <c r="EX107" s="25"/>
      <c r="EY107" s="25"/>
      <c r="EZ107" s="25"/>
      <c r="FA107" s="25"/>
      <c r="FB107" s="25"/>
      <c r="FC107" s="25"/>
      <c r="FD107" s="25"/>
      <c r="FE107" s="25"/>
      <c r="FF107" s="25"/>
      <c r="FG107" s="25"/>
      <c r="FH107" s="25"/>
      <c r="FI107" s="25"/>
      <c r="FJ107" s="25"/>
      <c r="FK107" s="25"/>
      <c r="FL107" s="25"/>
      <c r="FM107" s="25"/>
      <c r="FN107" s="25"/>
      <c r="FO107" s="25"/>
      <c r="FP107" s="25"/>
      <c r="FQ107" s="25"/>
      <c r="FR107" s="25"/>
      <c r="FS107" s="25"/>
      <c r="FT107" s="25"/>
      <c r="FU107" s="25"/>
      <c r="FV107" s="25"/>
      <c r="FW107" s="25"/>
      <c r="FX107" s="25"/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25"/>
      <c r="GM107" s="25"/>
      <c r="GN107" s="25"/>
      <c r="GO107" s="25"/>
      <c r="GP107" s="25"/>
      <c r="GQ107" s="25"/>
      <c r="GR107" s="25"/>
      <c r="GS107" s="25"/>
      <c r="GT107" s="25"/>
      <c r="GU107" s="25"/>
      <c r="GV107" s="25"/>
      <c r="GW107" s="25"/>
      <c r="GX107" s="25"/>
      <c r="GY107" s="25"/>
      <c r="GZ107" s="25"/>
      <c r="HA107" s="25"/>
      <c r="HB107" s="25"/>
      <c r="HC107" s="25"/>
      <c r="HD107" s="25"/>
      <c r="HE107" s="25"/>
      <c r="HF107" s="25"/>
      <c r="HG107" s="25"/>
      <c r="HH107" s="25"/>
      <c r="HI107" s="25"/>
      <c r="HJ107" s="25"/>
      <c r="HK107" s="25"/>
      <c r="HL107" s="25"/>
      <c r="HM107" s="25"/>
      <c r="HN107" s="25"/>
      <c r="HO107" s="25"/>
      <c r="HP107" s="25"/>
      <c r="HQ107" s="25"/>
      <c r="HR107" s="25"/>
      <c r="HS107" s="25"/>
      <c r="HT107" s="25"/>
      <c r="HU107" s="25"/>
      <c r="HV107" s="25"/>
      <c r="HW107" s="25"/>
      <c r="HX107" s="25"/>
      <c r="HY107" s="25"/>
      <c r="HZ107" s="25"/>
      <c r="IA107" s="25"/>
      <c r="IB107" s="25"/>
      <c r="IC107" s="25"/>
      <c r="ID107" s="25"/>
      <c r="IE107" s="25"/>
      <c r="IF107" s="25"/>
      <c r="IG107" s="25"/>
      <c r="IH107" s="25"/>
      <c r="II107" s="25"/>
      <c r="IJ107" s="25"/>
      <c r="IK107" s="25"/>
      <c r="IL107" s="25"/>
      <c r="IM107" s="25"/>
      <c r="IN107" s="25"/>
      <c r="IO107" s="25"/>
      <c r="IP107" s="25"/>
      <c r="IQ107" s="25"/>
      <c r="IR107" s="25"/>
      <c r="IS107" s="25"/>
      <c r="IT107" s="25"/>
      <c r="IU107" s="25"/>
      <c r="IV107" s="25"/>
      <c r="IW107" s="25"/>
      <c r="IX107" s="25"/>
      <c r="IY107" s="25"/>
      <c r="IZ107" s="25"/>
      <c r="JA107" s="25"/>
      <c r="JB107" s="25"/>
      <c r="JC107" s="25"/>
      <c r="JD107" s="25"/>
      <c r="JE107" s="25"/>
      <c r="JF107" s="25"/>
      <c r="JG107" s="25"/>
      <c r="JH107" s="25"/>
      <c r="JI107" s="25"/>
      <c r="JJ107" s="25"/>
      <c r="JK107" s="25"/>
      <c r="JL107" s="25"/>
      <c r="JM107" s="25"/>
      <c r="JN107" s="25"/>
      <c r="JO107" s="25"/>
      <c r="JP107" s="25"/>
      <c r="JQ107" s="25"/>
      <c r="JR107" s="25"/>
      <c r="JS107" s="25"/>
      <c r="JT107" s="25"/>
      <c r="JU107" s="25"/>
      <c r="JV107" s="25"/>
      <c r="JW107" s="25"/>
      <c r="JX107" s="25"/>
      <c r="JY107" s="25"/>
      <c r="JZ107" s="25"/>
      <c r="KA107" s="25"/>
      <c r="KB107" s="25"/>
      <c r="KC107" s="25"/>
      <c r="KD107" s="25"/>
      <c r="KE107" s="25"/>
      <c r="KF107" s="25"/>
      <c r="KG107" s="25"/>
      <c r="KH107" s="25"/>
      <c r="KI107" s="25"/>
      <c r="KJ107" s="25"/>
      <c r="KK107" s="25"/>
      <c r="KL107" s="25"/>
      <c r="KM107" s="25"/>
      <c r="KN107" s="25"/>
      <c r="KO107" s="25"/>
      <c r="KP107" s="25"/>
      <c r="KQ107" s="25"/>
      <c r="KR107" s="25"/>
      <c r="KS107" s="25"/>
      <c r="KT107" s="25"/>
      <c r="KU107" s="25"/>
      <c r="KV107" s="25"/>
      <c r="KW107" s="25"/>
      <c r="KX107" s="25"/>
      <c r="KY107" s="25"/>
      <c r="KZ107" s="25"/>
      <c r="LA107" s="25"/>
      <c r="LB107" s="25"/>
      <c r="LC107" s="25"/>
      <c r="LD107" s="25"/>
      <c r="LE107" s="25"/>
      <c r="LF107" s="25"/>
      <c r="LG107" s="25"/>
      <c r="LH107" s="25"/>
      <c r="LI107" s="25"/>
      <c r="LJ107" s="25"/>
      <c r="LK107" s="25"/>
      <c r="LL107" s="25"/>
      <c r="LM107" s="25"/>
      <c r="LN107" s="25"/>
      <c r="LO107" s="25"/>
      <c r="LP107" s="25"/>
      <c r="LQ107" s="25"/>
      <c r="LR107" s="25"/>
      <c r="LS107" s="25"/>
      <c r="LT107" s="25"/>
      <c r="LU107" s="25"/>
      <c r="LV107" s="25"/>
      <c r="LW107" s="25"/>
      <c r="LX107" s="25"/>
      <c r="LY107" s="25"/>
      <c r="LZ107" s="25"/>
      <c r="MA107" s="25"/>
      <c r="MB107" s="25"/>
      <c r="MC107" s="25"/>
      <c r="MD107" s="25"/>
      <c r="ME107" s="25"/>
      <c r="MF107" s="25"/>
      <c r="MG107" s="25"/>
      <c r="MH107" s="25"/>
      <c r="MI107" s="25"/>
      <c r="MJ107" s="25"/>
      <c r="MK107" s="25"/>
      <c r="ML107" s="25"/>
      <c r="MM107" s="25"/>
      <c r="MN107" s="25"/>
      <c r="MO107" s="25"/>
      <c r="MP107" s="25"/>
      <c r="MQ107" s="25"/>
      <c r="MR107" s="25"/>
      <c r="MS107" s="25"/>
      <c r="MT107" s="25"/>
      <c r="MU107" s="25"/>
      <c r="MV107" s="25"/>
      <c r="MW107" s="25"/>
      <c r="MX107" s="25"/>
      <c r="MY107" s="25"/>
      <c r="MZ107" s="25"/>
      <c r="NA107" s="25"/>
      <c r="NB107" s="25"/>
      <c r="NC107" s="25"/>
      <c r="ND107" s="25"/>
      <c r="NE107" s="33"/>
      <c r="OG107" s="18">
        <v>1</v>
      </c>
      <c r="OH107" s="18">
        <v>43196</v>
      </c>
      <c r="OI107" s="18">
        <v>43248</v>
      </c>
      <c r="PJ107" s="20" t="s">
        <v>11</v>
      </c>
      <c r="PK107" s="20">
        <v>106</v>
      </c>
    </row>
    <row r="108" spans="1:427" ht="0.75" customHeight="1" x14ac:dyDescent="0.2">
      <c r="A108" s="28"/>
      <c r="B108" s="22"/>
      <c r="C108" s="22"/>
      <c r="D108" s="44"/>
      <c r="E108" s="23"/>
      <c r="F108" s="24" t="s">
        <v>10</v>
      </c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  <c r="EX108" s="25"/>
      <c r="EY108" s="25"/>
      <c r="EZ108" s="25"/>
      <c r="FA108" s="25"/>
      <c r="FB108" s="25"/>
      <c r="FC108" s="25"/>
      <c r="FD108" s="25"/>
      <c r="FE108" s="25"/>
      <c r="FF108" s="25"/>
      <c r="FG108" s="25"/>
      <c r="FH108" s="25"/>
      <c r="FI108" s="25"/>
      <c r="FJ108" s="25"/>
      <c r="FK108" s="25"/>
      <c r="FL108" s="25"/>
      <c r="FM108" s="25"/>
      <c r="FN108" s="25"/>
      <c r="FO108" s="25"/>
      <c r="FP108" s="25"/>
      <c r="FQ108" s="25"/>
      <c r="FR108" s="25"/>
      <c r="FS108" s="25"/>
      <c r="FT108" s="25"/>
      <c r="FU108" s="25"/>
      <c r="FV108" s="25"/>
      <c r="FW108" s="25"/>
      <c r="FX108" s="25"/>
      <c r="FY108" s="25"/>
      <c r="FZ108" s="25"/>
      <c r="GA108" s="25"/>
      <c r="GB108" s="25"/>
      <c r="GC108" s="25"/>
      <c r="GD108" s="25"/>
      <c r="GE108" s="25"/>
      <c r="GF108" s="25"/>
      <c r="GG108" s="25"/>
      <c r="GH108" s="25"/>
      <c r="GI108" s="25"/>
      <c r="GJ108" s="25"/>
      <c r="GK108" s="25"/>
      <c r="GL108" s="25"/>
      <c r="GM108" s="25"/>
      <c r="GN108" s="25"/>
      <c r="GO108" s="25"/>
      <c r="GP108" s="25"/>
      <c r="GQ108" s="25"/>
      <c r="GR108" s="25"/>
      <c r="GS108" s="25"/>
      <c r="GT108" s="25"/>
      <c r="GU108" s="25"/>
      <c r="GV108" s="25"/>
      <c r="GW108" s="25"/>
      <c r="GX108" s="25"/>
      <c r="GY108" s="25"/>
      <c r="GZ108" s="25"/>
      <c r="HA108" s="25"/>
      <c r="HB108" s="25"/>
      <c r="HC108" s="25"/>
      <c r="HD108" s="25"/>
      <c r="HE108" s="25"/>
      <c r="HF108" s="25"/>
      <c r="HG108" s="25"/>
      <c r="HH108" s="25"/>
      <c r="HI108" s="25"/>
      <c r="HJ108" s="25"/>
      <c r="HK108" s="25"/>
      <c r="HL108" s="25"/>
      <c r="HM108" s="25"/>
      <c r="HN108" s="25"/>
      <c r="HO108" s="25"/>
      <c r="HP108" s="25"/>
      <c r="HQ108" s="25"/>
      <c r="HR108" s="25"/>
      <c r="HS108" s="25"/>
      <c r="HT108" s="25"/>
      <c r="HU108" s="25"/>
      <c r="HV108" s="25"/>
      <c r="HW108" s="25"/>
      <c r="HX108" s="25"/>
      <c r="HY108" s="25"/>
      <c r="HZ108" s="25"/>
      <c r="IA108" s="25"/>
      <c r="IB108" s="25"/>
      <c r="IC108" s="25"/>
      <c r="ID108" s="25"/>
      <c r="IE108" s="25"/>
      <c r="IF108" s="25"/>
      <c r="IG108" s="25"/>
      <c r="IH108" s="25"/>
      <c r="II108" s="25"/>
      <c r="IJ108" s="25"/>
      <c r="IK108" s="25"/>
      <c r="IL108" s="25"/>
      <c r="IM108" s="25"/>
      <c r="IN108" s="25"/>
      <c r="IO108" s="25"/>
      <c r="IP108" s="25"/>
      <c r="IQ108" s="25"/>
      <c r="IR108" s="25"/>
      <c r="IS108" s="25"/>
      <c r="IT108" s="25"/>
      <c r="IU108" s="25"/>
      <c r="IV108" s="25"/>
      <c r="IW108" s="25"/>
      <c r="IX108" s="25"/>
      <c r="IY108" s="25"/>
      <c r="IZ108" s="25"/>
      <c r="JA108" s="25"/>
      <c r="JB108" s="25"/>
      <c r="JC108" s="25"/>
      <c r="JD108" s="25"/>
      <c r="JE108" s="25"/>
      <c r="JF108" s="25"/>
      <c r="JG108" s="25"/>
      <c r="JH108" s="25"/>
      <c r="JI108" s="25"/>
      <c r="JJ108" s="25"/>
      <c r="JK108" s="25"/>
      <c r="JL108" s="25"/>
      <c r="JM108" s="25"/>
      <c r="JN108" s="25"/>
      <c r="JO108" s="25"/>
      <c r="JP108" s="25"/>
      <c r="JQ108" s="25"/>
      <c r="JR108" s="25"/>
      <c r="JS108" s="25"/>
      <c r="JT108" s="25"/>
      <c r="JU108" s="25"/>
      <c r="JV108" s="25"/>
      <c r="JW108" s="25"/>
      <c r="JX108" s="25"/>
      <c r="JY108" s="25"/>
      <c r="JZ108" s="25"/>
      <c r="KA108" s="25"/>
      <c r="KB108" s="25"/>
      <c r="KC108" s="25"/>
      <c r="KD108" s="25"/>
      <c r="KE108" s="25"/>
      <c r="KF108" s="25"/>
      <c r="KG108" s="25"/>
      <c r="KH108" s="25"/>
      <c r="KI108" s="25"/>
      <c r="KJ108" s="25"/>
      <c r="KK108" s="25"/>
      <c r="KL108" s="25"/>
      <c r="KM108" s="25"/>
      <c r="KN108" s="25"/>
      <c r="KO108" s="25"/>
      <c r="KP108" s="25"/>
      <c r="KQ108" s="25"/>
      <c r="KR108" s="25"/>
      <c r="KS108" s="25"/>
      <c r="KT108" s="25"/>
      <c r="KU108" s="25"/>
      <c r="KV108" s="25"/>
      <c r="KW108" s="25"/>
      <c r="KX108" s="25"/>
      <c r="KY108" s="25"/>
      <c r="KZ108" s="25"/>
      <c r="LA108" s="25"/>
      <c r="LB108" s="25"/>
      <c r="LC108" s="25"/>
      <c r="LD108" s="25"/>
      <c r="LE108" s="25"/>
      <c r="LF108" s="25"/>
      <c r="LG108" s="25"/>
      <c r="LH108" s="25"/>
      <c r="LI108" s="25"/>
      <c r="LJ108" s="25"/>
      <c r="LK108" s="25"/>
      <c r="LL108" s="25"/>
      <c r="LM108" s="25"/>
      <c r="LN108" s="25"/>
      <c r="LO108" s="25"/>
      <c r="LP108" s="25"/>
      <c r="LQ108" s="25"/>
      <c r="LR108" s="25"/>
      <c r="LS108" s="25"/>
      <c r="LT108" s="25"/>
      <c r="LU108" s="25"/>
      <c r="LV108" s="25"/>
      <c r="LW108" s="25"/>
      <c r="LX108" s="25"/>
      <c r="LY108" s="25"/>
      <c r="LZ108" s="25"/>
      <c r="MA108" s="25"/>
      <c r="MB108" s="25"/>
      <c r="MC108" s="25"/>
      <c r="MD108" s="25"/>
      <c r="ME108" s="25"/>
      <c r="MF108" s="25"/>
      <c r="MG108" s="25"/>
      <c r="MH108" s="25"/>
      <c r="MI108" s="25"/>
      <c r="MJ108" s="25"/>
      <c r="MK108" s="25"/>
      <c r="ML108" s="25"/>
      <c r="MM108" s="25"/>
      <c r="MN108" s="25"/>
      <c r="MO108" s="25"/>
      <c r="MP108" s="25"/>
      <c r="MQ108" s="25"/>
      <c r="MR108" s="25"/>
      <c r="MS108" s="25"/>
      <c r="MT108" s="25"/>
      <c r="MU108" s="25"/>
      <c r="MV108" s="25"/>
      <c r="MW108" s="25"/>
      <c r="MX108" s="25"/>
      <c r="MY108" s="25"/>
      <c r="MZ108" s="25"/>
      <c r="NA108" s="25"/>
      <c r="NB108" s="25"/>
      <c r="NC108" s="25"/>
      <c r="ND108" s="25"/>
      <c r="NE108" s="33"/>
    </row>
    <row r="109" spans="1:427" ht="13.5" customHeight="1" x14ac:dyDescent="0.2">
      <c r="A109" s="28"/>
      <c r="B109" s="22"/>
      <c r="C109" s="26"/>
      <c r="D109" s="44"/>
      <c r="E109" s="23"/>
      <c r="F109" s="24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  <c r="EX109" s="25"/>
      <c r="EY109" s="25"/>
      <c r="EZ109" s="25"/>
      <c r="FA109" s="25"/>
      <c r="FB109" s="25"/>
      <c r="FC109" s="25"/>
      <c r="FD109" s="25"/>
      <c r="FE109" s="25"/>
      <c r="FF109" s="25"/>
      <c r="FG109" s="25"/>
      <c r="FH109" s="25"/>
      <c r="FI109" s="25"/>
      <c r="FJ109" s="25"/>
      <c r="FK109" s="25"/>
      <c r="FL109" s="25"/>
      <c r="FM109" s="25"/>
      <c r="FN109" s="25"/>
      <c r="FO109" s="25"/>
      <c r="FP109" s="25"/>
      <c r="FQ109" s="25"/>
      <c r="FR109" s="25"/>
      <c r="FS109" s="25"/>
      <c r="FT109" s="25"/>
      <c r="FU109" s="25"/>
      <c r="FV109" s="25"/>
      <c r="FW109" s="25"/>
      <c r="FX109" s="25"/>
      <c r="FY109" s="25"/>
      <c r="FZ109" s="25"/>
      <c r="GA109" s="25"/>
      <c r="GB109" s="25"/>
      <c r="GC109" s="25"/>
      <c r="GD109" s="25"/>
      <c r="GE109" s="25"/>
      <c r="GF109" s="25"/>
      <c r="GG109" s="25"/>
      <c r="GH109" s="25"/>
      <c r="GI109" s="25"/>
      <c r="GJ109" s="25"/>
      <c r="GK109" s="25"/>
      <c r="GL109" s="25"/>
      <c r="GM109" s="25"/>
      <c r="GN109" s="25"/>
      <c r="GO109" s="25"/>
      <c r="GP109" s="25"/>
      <c r="GQ109" s="25"/>
      <c r="GR109" s="25"/>
      <c r="GS109" s="25"/>
      <c r="GT109" s="25"/>
      <c r="GU109" s="25"/>
      <c r="GV109" s="25"/>
      <c r="GW109" s="25"/>
      <c r="GX109" s="25"/>
      <c r="GY109" s="25"/>
      <c r="GZ109" s="25"/>
      <c r="HA109" s="25"/>
      <c r="HB109" s="25"/>
      <c r="HC109" s="25"/>
      <c r="HD109" s="25"/>
      <c r="HE109" s="25"/>
      <c r="HF109" s="25"/>
      <c r="HG109" s="25"/>
      <c r="HH109" s="25"/>
      <c r="HI109" s="25"/>
      <c r="HJ109" s="25"/>
      <c r="HK109" s="25"/>
      <c r="HL109" s="25"/>
      <c r="HM109" s="25"/>
      <c r="HN109" s="25"/>
      <c r="HO109" s="25"/>
      <c r="HP109" s="25"/>
      <c r="HQ109" s="25"/>
      <c r="HR109" s="25"/>
      <c r="HS109" s="25"/>
      <c r="HT109" s="25"/>
      <c r="HU109" s="25"/>
      <c r="HV109" s="25"/>
      <c r="HW109" s="25"/>
      <c r="HX109" s="25"/>
      <c r="HY109" s="25"/>
      <c r="HZ109" s="25"/>
      <c r="IA109" s="25"/>
      <c r="IB109" s="25"/>
      <c r="IC109" s="25"/>
      <c r="ID109" s="25"/>
      <c r="IE109" s="25"/>
      <c r="IF109" s="25"/>
      <c r="IG109" s="25"/>
      <c r="IH109" s="25"/>
      <c r="II109" s="25"/>
      <c r="IJ109" s="25"/>
      <c r="IK109" s="25"/>
      <c r="IL109" s="25"/>
      <c r="IM109" s="25"/>
      <c r="IN109" s="25"/>
      <c r="IO109" s="25"/>
      <c r="IP109" s="25"/>
      <c r="IQ109" s="25"/>
      <c r="IR109" s="25"/>
      <c r="IS109" s="25"/>
      <c r="IT109" s="25"/>
      <c r="IU109" s="25"/>
      <c r="IV109" s="25"/>
      <c r="IW109" s="25"/>
      <c r="IX109" s="25"/>
      <c r="IY109" s="25"/>
      <c r="IZ109" s="25"/>
      <c r="JA109" s="25"/>
      <c r="JB109" s="25"/>
      <c r="JC109" s="25"/>
      <c r="JD109" s="25"/>
      <c r="JE109" s="25"/>
      <c r="JF109" s="25"/>
      <c r="JG109" s="25"/>
      <c r="JH109" s="25"/>
      <c r="JI109" s="25"/>
      <c r="JJ109" s="25"/>
      <c r="JK109" s="25"/>
      <c r="JL109" s="25"/>
      <c r="JM109" s="25"/>
      <c r="JN109" s="25"/>
      <c r="JO109" s="25"/>
      <c r="JP109" s="25"/>
      <c r="JQ109" s="25"/>
      <c r="JR109" s="25"/>
      <c r="JS109" s="25"/>
      <c r="JT109" s="25"/>
      <c r="JU109" s="25"/>
      <c r="JV109" s="25"/>
      <c r="JW109" s="25"/>
      <c r="JX109" s="25"/>
      <c r="JY109" s="25"/>
      <c r="JZ109" s="25"/>
      <c r="KA109" s="25"/>
      <c r="KB109" s="25"/>
      <c r="KC109" s="25"/>
      <c r="KD109" s="25"/>
      <c r="KE109" s="25"/>
      <c r="KF109" s="25"/>
      <c r="KG109" s="25"/>
      <c r="KH109" s="25"/>
      <c r="KI109" s="25"/>
      <c r="KJ109" s="25"/>
      <c r="KK109" s="25"/>
      <c r="KL109" s="25"/>
      <c r="KM109" s="25"/>
      <c r="KN109" s="25"/>
      <c r="KO109" s="25"/>
      <c r="KP109" s="25"/>
      <c r="KQ109" s="25"/>
      <c r="KR109" s="25"/>
      <c r="KS109" s="25"/>
      <c r="KT109" s="25"/>
      <c r="KU109" s="25"/>
      <c r="KV109" s="25"/>
      <c r="KW109" s="25"/>
      <c r="KX109" s="25"/>
      <c r="KY109" s="25"/>
      <c r="KZ109" s="25"/>
      <c r="LA109" s="25"/>
      <c r="LB109" s="25"/>
      <c r="LC109" s="25"/>
      <c r="LD109" s="25"/>
      <c r="LE109" s="25"/>
      <c r="LF109" s="25"/>
      <c r="LG109" s="25"/>
      <c r="LH109" s="25"/>
      <c r="LI109" s="25"/>
      <c r="LJ109" s="25"/>
      <c r="LK109" s="25"/>
      <c r="LL109" s="25"/>
      <c r="LM109" s="25"/>
      <c r="LN109" s="25"/>
      <c r="LO109" s="25"/>
      <c r="LP109" s="25"/>
      <c r="LQ109" s="25"/>
      <c r="LR109" s="25"/>
      <c r="LS109" s="25"/>
      <c r="LT109" s="25"/>
      <c r="LU109" s="25"/>
      <c r="LV109" s="25"/>
      <c r="LW109" s="25"/>
      <c r="LX109" s="25"/>
      <c r="LY109" s="25"/>
      <c r="LZ109" s="25"/>
      <c r="MA109" s="25"/>
      <c r="MB109" s="25"/>
      <c r="MC109" s="25"/>
      <c r="MD109" s="25"/>
      <c r="ME109" s="25"/>
      <c r="MF109" s="25"/>
      <c r="MG109" s="25"/>
      <c r="MH109" s="25"/>
      <c r="MI109" s="25"/>
      <c r="MJ109" s="25"/>
      <c r="MK109" s="25"/>
      <c r="ML109" s="25"/>
      <c r="MM109" s="25"/>
      <c r="MN109" s="25"/>
      <c r="MO109" s="25"/>
      <c r="MP109" s="25"/>
      <c r="MQ109" s="25"/>
      <c r="MR109" s="25"/>
      <c r="MS109" s="25"/>
      <c r="MT109" s="25"/>
      <c r="MU109" s="25"/>
      <c r="MV109" s="25"/>
      <c r="MW109" s="25"/>
      <c r="MX109" s="25"/>
      <c r="MY109" s="25"/>
      <c r="MZ109" s="25"/>
      <c r="NA109" s="25"/>
      <c r="NB109" s="25"/>
      <c r="NC109" s="25"/>
      <c r="ND109" s="25"/>
      <c r="NE109" s="33"/>
      <c r="OG109" s="18">
        <v>1</v>
      </c>
      <c r="OH109" s="18">
        <v>43336</v>
      </c>
      <c r="OI109" s="18">
        <v>43388</v>
      </c>
      <c r="PJ109" s="20" t="s">
        <v>11</v>
      </c>
      <c r="PK109" s="20">
        <v>106</v>
      </c>
    </row>
    <row r="110" spans="1:427" ht="0.75" customHeight="1" x14ac:dyDescent="0.2">
      <c r="A110" s="28"/>
      <c r="B110" s="22"/>
      <c r="C110" s="22"/>
      <c r="D110" s="44"/>
      <c r="E110" s="23"/>
      <c r="F110" s="24" t="s">
        <v>10</v>
      </c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  <c r="EX110" s="25"/>
      <c r="EY110" s="25"/>
      <c r="EZ110" s="25"/>
      <c r="FA110" s="25"/>
      <c r="FB110" s="25"/>
      <c r="FC110" s="25"/>
      <c r="FD110" s="25"/>
      <c r="FE110" s="25"/>
      <c r="FF110" s="25"/>
      <c r="FG110" s="25"/>
      <c r="FH110" s="25"/>
      <c r="FI110" s="25"/>
      <c r="FJ110" s="25"/>
      <c r="FK110" s="25"/>
      <c r="FL110" s="25"/>
      <c r="FM110" s="25"/>
      <c r="FN110" s="25"/>
      <c r="FO110" s="25"/>
      <c r="FP110" s="2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25"/>
      <c r="GM110" s="25"/>
      <c r="GN110" s="25"/>
      <c r="GO110" s="25"/>
      <c r="GP110" s="25"/>
      <c r="GQ110" s="25"/>
      <c r="GR110" s="25"/>
      <c r="GS110" s="25"/>
      <c r="GT110" s="25"/>
      <c r="GU110" s="25"/>
      <c r="GV110" s="25"/>
      <c r="GW110" s="25"/>
      <c r="GX110" s="25"/>
      <c r="GY110" s="25"/>
      <c r="GZ110" s="25"/>
      <c r="HA110" s="25"/>
      <c r="HB110" s="25"/>
      <c r="HC110" s="25"/>
      <c r="HD110" s="25"/>
      <c r="HE110" s="25"/>
      <c r="HF110" s="25"/>
      <c r="HG110" s="25"/>
      <c r="HH110" s="25"/>
      <c r="HI110" s="25"/>
      <c r="HJ110" s="25"/>
      <c r="HK110" s="25"/>
      <c r="HL110" s="25"/>
      <c r="HM110" s="25"/>
      <c r="HN110" s="25"/>
      <c r="HO110" s="25"/>
      <c r="HP110" s="25"/>
      <c r="HQ110" s="25"/>
      <c r="HR110" s="25"/>
      <c r="HS110" s="25"/>
      <c r="HT110" s="25"/>
      <c r="HU110" s="25"/>
      <c r="HV110" s="25"/>
      <c r="HW110" s="25"/>
      <c r="HX110" s="25"/>
      <c r="HY110" s="25"/>
      <c r="HZ110" s="25"/>
      <c r="IA110" s="25"/>
      <c r="IB110" s="25"/>
      <c r="IC110" s="25"/>
      <c r="ID110" s="25"/>
      <c r="IE110" s="25"/>
      <c r="IF110" s="25"/>
      <c r="IG110" s="25"/>
      <c r="IH110" s="25"/>
      <c r="II110" s="25"/>
      <c r="IJ110" s="25"/>
      <c r="IK110" s="25"/>
      <c r="IL110" s="25"/>
      <c r="IM110" s="25"/>
      <c r="IN110" s="25"/>
      <c r="IO110" s="25"/>
      <c r="IP110" s="25"/>
      <c r="IQ110" s="25"/>
      <c r="IR110" s="25"/>
      <c r="IS110" s="25"/>
      <c r="IT110" s="25"/>
      <c r="IU110" s="25"/>
      <c r="IV110" s="25"/>
      <c r="IW110" s="25"/>
      <c r="IX110" s="25"/>
      <c r="IY110" s="25"/>
      <c r="IZ110" s="25"/>
      <c r="JA110" s="25"/>
      <c r="JB110" s="25"/>
      <c r="JC110" s="25"/>
      <c r="JD110" s="25"/>
      <c r="JE110" s="25"/>
      <c r="JF110" s="25"/>
      <c r="JG110" s="25"/>
      <c r="JH110" s="25"/>
      <c r="JI110" s="25"/>
      <c r="JJ110" s="25"/>
      <c r="JK110" s="25"/>
      <c r="JL110" s="25"/>
      <c r="JM110" s="25"/>
      <c r="JN110" s="25"/>
      <c r="JO110" s="25"/>
      <c r="JP110" s="25"/>
      <c r="JQ110" s="25"/>
      <c r="JR110" s="25"/>
      <c r="JS110" s="25"/>
      <c r="JT110" s="25"/>
      <c r="JU110" s="25"/>
      <c r="JV110" s="25"/>
      <c r="JW110" s="25"/>
      <c r="JX110" s="25"/>
      <c r="JY110" s="25"/>
      <c r="JZ110" s="25"/>
      <c r="KA110" s="25"/>
      <c r="KB110" s="25"/>
      <c r="KC110" s="25"/>
      <c r="KD110" s="25"/>
      <c r="KE110" s="25"/>
      <c r="KF110" s="25"/>
      <c r="KG110" s="25"/>
      <c r="KH110" s="25"/>
      <c r="KI110" s="25"/>
      <c r="KJ110" s="25"/>
      <c r="KK110" s="25"/>
      <c r="KL110" s="25"/>
      <c r="KM110" s="25"/>
      <c r="KN110" s="25"/>
      <c r="KO110" s="25"/>
      <c r="KP110" s="25"/>
      <c r="KQ110" s="25"/>
      <c r="KR110" s="25"/>
      <c r="KS110" s="25"/>
      <c r="KT110" s="25"/>
      <c r="KU110" s="25"/>
      <c r="KV110" s="25"/>
      <c r="KW110" s="25"/>
      <c r="KX110" s="25"/>
      <c r="KY110" s="25"/>
      <c r="KZ110" s="25"/>
      <c r="LA110" s="25"/>
      <c r="LB110" s="25"/>
      <c r="LC110" s="25"/>
      <c r="LD110" s="25"/>
      <c r="LE110" s="25"/>
      <c r="LF110" s="25"/>
      <c r="LG110" s="25"/>
      <c r="LH110" s="25"/>
      <c r="LI110" s="25"/>
      <c r="LJ110" s="25"/>
      <c r="LK110" s="25"/>
      <c r="LL110" s="25"/>
      <c r="LM110" s="25"/>
      <c r="LN110" s="25"/>
      <c r="LO110" s="25"/>
      <c r="LP110" s="25"/>
      <c r="LQ110" s="25"/>
      <c r="LR110" s="25"/>
      <c r="LS110" s="25"/>
      <c r="LT110" s="25"/>
      <c r="LU110" s="25"/>
      <c r="LV110" s="25"/>
      <c r="LW110" s="25"/>
      <c r="LX110" s="25"/>
      <c r="LY110" s="25"/>
      <c r="LZ110" s="25"/>
      <c r="MA110" s="25"/>
      <c r="MB110" s="25"/>
      <c r="MC110" s="25"/>
      <c r="MD110" s="25"/>
      <c r="ME110" s="25"/>
      <c r="MF110" s="25"/>
      <c r="MG110" s="25"/>
      <c r="MH110" s="25"/>
      <c r="MI110" s="25"/>
      <c r="MJ110" s="25"/>
      <c r="MK110" s="25"/>
      <c r="ML110" s="25"/>
      <c r="MM110" s="25"/>
      <c r="MN110" s="25"/>
      <c r="MO110" s="25"/>
      <c r="MP110" s="25"/>
      <c r="MQ110" s="25"/>
      <c r="MR110" s="25"/>
      <c r="MS110" s="25"/>
      <c r="MT110" s="25"/>
      <c r="MU110" s="25"/>
      <c r="MV110" s="25"/>
      <c r="MW110" s="25"/>
      <c r="MX110" s="25"/>
      <c r="MY110" s="25"/>
      <c r="MZ110" s="25"/>
      <c r="NA110" s="25"/>
      <c r="NB110" s="25"/>
      <c r="NC110" s="25"/>
      <c r="ND110" s="25"/>
      <c r="NE110" s="33"/>
    </row>
    <row r="111" spans="1:427" ht="13.5" customHeight="1" x14ac:dyDescent="0.2">
      <c r="A111" s="28"/>
      <c r="B111" s="22"/>
      <c r="C111" s="26"/>
      <c r="D111" s="44"/>
      <c r="E111" s="23"/>
      <c r="F111" s="24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  <c r="EX111" s="25"/>
      <c r="EY111" s="25"/>
      <c r="EZ111" s="25"/>
      <c r="FA111" s="25"/>
      <c r="FB111" s="25"/>
      <c r="FC111" s="25"/>
      <c r="FD111" s="25"/>
      <c r="FE111" s="25"/>
      <c r="FF111" s="25"/>
      <c r="FG111" s="25"/>
      <c r="FH111" s="25"/>
      <c r="FI111" s="25"/>
      <c r="FJ111" s="25"/>
      <c r="FK111" s="25"/>
      <c r="FL111" s="25"/>
      <c r="FM111" s="25"/>
      <c r="FN111" s="25"/>
      <c r="FO111" s="25"/>
      <c r="FP111" s="25"/>
      <c r="FQ111" s="25"/>
      <c r="FR111" s="25"/>
      <c r="FS111" s="25"/>
      <c r="FT111" s="25"/>
      <c r="FU111" s="25"/>
      <c r="FV111" s="25"/>
      <c r="FW111" s="25"/>
      <c r="FX111" s="25"/>
      <c r="FY111" s="25"/>
      <c r="FZ111" s="25"/>
      <c r="GA111" s="25"/>
      <c r="GB111" s="25"/>
      <c r="GC111" s="25"/>
      <c r="GD111" s="25"/>
      <c r="GE111" s="25"/>
      <c r="GF111" s="25"/>
      <c r="GG111" s="25"/>
      <c r="GH111" s="25"/>
      <c r="GI111" s="25"/>
      <c r="GJ111" s="25"/>
      <c r="GK111" s="25"/>
      <c r="GL111" s="25"/>
      <c r="GM111" s="25"/>
      <c r="GN111" s="25"/>
      <c r="GO111" s="25"/>
      <c r="GP111" s="25"/>
      <c r="GQ111" s="25"/>
      <c r="GR111" s="25"/>
      <c r="GS111" s="25"/>
      <c r="GT111" s="25"/>
      <c r="GU111" s="25"/>
      <c r="GV111" s="25"/>
      <c r="GW111" s="25"/>
      <c r="GX111" s="25"/>
      <c r="GY111" s="25"/>
      <c r="GZ111" s="25"/>
      <c r="HA111" s="25"/>
      <c r="HB111" s="25"/>
      <c r="HC111" s="25"/>
      <c r="HD111" s="25"/>
      <c r="HE111" s="25"/>
      <c r="HF111" s="25"/>
      <c r="HG111" s="25"/>
      <c r="HH111" s="25"/>
      <c r="HI111" s="25"/>
      <c r="HJ111" s="25"/>
      <c r="HK111" s="25"/>
      <c r="HL111" s="25"/>
      <c r="HM111" s="25"/>
      <c r="HN111" s="25"/>
      <c r="HO111" s="25"/>
      <c r="HP111" s="25"/>
      <c r="HQ111" s="25"/>
      <c r="HR111" s="25"/>
      <c r="HS111" s="25"/>
      <c r="HT111" s="25"/>
      <c r="HU111" s="25"/>
      <c r="HV111" s="25"/>
      <c r="HW111" s="25"/>
      <c r="HX111" s="25"/>
      <c r="HY111" s="25"/>
      <c r="HZ111" s="25"/>
      <c r="IA111" s="25"/>
      <c r="IB111" s="25"/>
      <c r="IC111" s="25"/>
      <c r="ID111" s="25"/>
      <c r="IE111" s="25"/>
      <c r="IF111" s="25"/>
      <c r="IG111" s="25"/>
      <c r="IH111" s="25"/>
      <c r="II111" s="25"/>
      <c r="IJ111" s="25"/>
      <c r="IK111" s="25"/>
      <c r="IL111" s="25"/>
      <c r="IM111" s="25"/>
      <c r="IN111" s="25"/>
      <c r="IO111" s="25"/>
      <c r="IP111" s="25"/>
      <c r="IQ111" s="25"/>
      <c r="IR111" s="25"/>
      <c r="IS111" s="25"/>
      <c r="IT111" s="25"/>
      <c r="IU111" s="25"/>
      <c r="IV111" s="25"/>
      <c r="IW111" s="25"/>
      <c r="IX111" s="25"/>
      <c r="IY111" s="25"/>
      <c r="IZ111" s="25"/>
      <c r="JA111" s="25"/>
      <c r="JB111" s="25"/>
      <c r="JC111" s="25"/>
      <c r="JD111" s="25"/>
      <c r="JE111" s="25"/>
      <c r="JF111" s="25"/>
      <c r="JG111" s="25"/>
      <c r="JH111" s="25"/>
      <c r="JI111" s="25"/>
      <c r="JJ111" s="25"/>
      <c r="JK111" s="25"/>
      <c r="JL111" s="25"/>
      <c r="JM111" s="25"/>
      <c r="JN111" s="25"/>
      <c r="JO111" s="25"/>
      <c r="JP111" s="25"/>
      <c r="JQ111" s="25"/>
      <c r="JR111" s="25"/>
      <c r="JS111" s="25"/>
      <c r="JT111" s="25"/>
      <c r="JU111" s="25"/>
      <c r="JV111" s="25"/>
      <c r="JW111" s="25"/>
      <c r="JX111" s="25"/>
      <c r="JY111" s="25"/>
      <c r="JZ111" s="25"/>
      <c r="KA111" s="25"/>
      <c r="KB111" s="25"/>
      <c r="KC111" s="25"/>
      <c r="KD111" s="25"/>
      <c r="KE111" s="25"/>
      <c r="KF111" s="25"/>
      <c r="KG111" s="25"/>
      <c r="KH111" s="25"/>
      <c r="KI111" s="25"/>
      <c r="KJ111" s="25"/>
      <c r="KK111" s="25"/>
      <c r="KL111" s="25"/>
      <c r="KM111" s="25"/>
      <c r="KN111" s="25"/>
      <c r="KO111" s="25"/>
      <c r="KP111" s="25"/>
      <c r="KQ111" s="25"/>
      <c r="KR111" s="25"/>
      <c r="KS111" s="25"/>
      <c r="KT111" s="25"/>
      <c r="KU111" s="25"/>
      <c r="KV111" s="25"/>
      <c r="KW111" s="25"/>
      <c r="KX111" s="25"/>
      <c r="KY111" s="25"/>
      <c r="KZ111" s="25"/>
      <c r="LA111" s="25"/>
      <c r="LB111" s="25"/>
      <c r="LC111" s="25"/>
      <c r="LD111" s="25"/>
      <c r="LE111" s="25"/>
      <c r="LF111" s="25"/>
      <c r="LG111" s="25"/>
      <c r="LH111" s="25"/>
      <c r="LI111" s="25"/>
      <c r="LJ111" s="25"/>
      <c r="LK111" s="25"/>
      <c r="LL111" s="25"/>
      <c r="LM111" s="25"/>
      <c r="LN111" s="25"/>
      <c r="LO111" s="25"/>
      <c r="LP111" s="25"/>
      <c r="LQ111" s="25"/>
      <c r="LR111" s="25"/>
      <c r="LS111" s="25"/>
      <c r="LT111" s="25"/>
      <c r="LU111" s="25"/>
      <c r="LV111" s="25"/>
      <c r="LW111" s="25"/>
      <c r="LX111" s="25"/>
      <c r="LY111" s="25"/>
      <c r="LZ111" s="25"/>
      <c r="MA111" s="25"/>
      <c r="MB111" s="25"/>
      <c r="MC111" s="25"/>
      <c r="MD111" s="25"/>
      <c r="ME111" s="25"/>
      <c r="MF111" s="25"/>
      <c r="MG111" s="25"/>
      <c r="MH111" s="25"/>
      <c r="MI111" s="25"/>
      <c r="MJ111" s="25"/>
      <c r="MK111" s="25"/>
      <c r="ML111" s="25"/>
      <c r="MM111" s="25"/>
      <c r="MN111" s="25"/>
      <c r="MO111" s="25"/>
      <c r="MP111" s="25"/>
      <c r="MQ111" s="25"/>
      <c r="MR111" s="25"/>
      <c r="MS111" s="25"/>
      <c r="MT111" s="25"/>
      <c r="MU111" s="25"/>
      <c r="MV111" s="25"/>
      <c r="MW111" s="25"/>
      <c r="MX111" s="25"/>
      <c r="MY111" s="25"/>
      <c r="MZ111" s="25"/>
      <c r="NA111" s="25"/>
      <c r="NB111" s="25"/>
      <c r="NC111" s="25"/>
      <c r="ND111" s="25"/>
      <c r="NE111" s="33"/>
      <c r="OG111" s="18">
        <v>1</v>
      </c>
      <c r="OH111" s="18">
        <v>43196</v>
      </c>
      <c r="OI111" s="18">
        <v>43248</v>
      </c>
      <c r="PJ111" s="20" t="s">
        <v>11</v>
      </c>
      <c r="PK111" s="20">
        <v>106</v>
      </c>
    </row>
    <row r="112" spans="1:427" ht="0.75" customHeight="1" x14ac:dyDescent="0.2">
      <c r="A112" s="28"/>
      <c r="B112" s="22"/>
      <c r="C112" s="22"/>
      <c r="D112" s="44"/>
      <c r="E112" s="23"/>
      <c r="F112" s="24" t="s">
        <v>10</v>
      </c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  <c r="EX112" s="25"/>
      <c r="EY112" s="25"/>
      <c r="EZ112" s="25"/>
      <c r="FA112" s="25"/>
      <c r="FB112" s="25"/>
      <c r="FC112" s="25"/>
      <c r="FD112" s="25"/>
      <c r="FE112" s="25"/>
      <c r="FF112" s="25"/>
      <c r="FG112" s="25"/>
      <c r="FH112" s="25"/>
      <c r="FI112" s="25"/>
      <c r="FJ112" s="25"/>
      <c r="FK112" s="25"/>
      <c r="FL112" s="25"/>
      <c r="FM112" s="25"/>
      <c r="FN112" s="25"/>
      <c r="FO112" s="25"/>
      <c r="FP112" s="25"/>
      <c r="FQ112" s="25"/>
      <c r="FR112" s="25"/>
      <c r="FS112" s="25"/>
      <c r="FT112" s="25"/>
      <c r="FU112" s="25"/>
      <c r="FV112" s="25"/>
      <c r="FW112" s="25"/>
      <c r="FX112" s="25"/>
      <c r="FY112" s="25"/>
      <c r="FZ112" s="25"/>
      <c r="GA112" s="25"/>
      <c r="GB112" s="25"/>
      <c r="GC112" s="25"/>
      <c r="GD112" s="25"/>
      <c r="GE112" s="25"/>
      <c r="GF112" s="25"/>
      <c r="GG112" s="25"/>
      <c r="GH112" s="25"/>
      <c r="GI112" s="25"/>
      <c r="GJ112" s="25"/>
      <c r="GK112" s="25"/>
      <c r="GL112" s="25"/>
      <c r="GM112" s="25"/>
      <c r="GN112" s="25"/>
      <c r="GO112" s="25"/>
      <c r="GP112" s="25"/>
      <c r="GQ112" s="25"/>
      <c r="GR112" s="25"/>
      <c r="GS112" s="25"/>
      <c r="GT112" s="25"/>
      <c r="GU112" s="25"/>
      <c r="GV112" s="25"/>
      <c r="GW112" s="25"/>
      <c r="GX112" s="25"/>
      <c r="GY112" s="25"/>
      <c r="GZ112" s="25"/>
      <c r="HA112" s="25"/>
      <c r="HB112" s="25"/>
      <c r="HC112" s="25"/>
      <c r="HD112" s="25"/>
      <c r="HE112" s="25"/>
      <c r="HF112" s="25"/>
      <c r="HG112" s="25"/>
      <c r="HH112" s="25"/>
      <c r="HI112" s="25"/>
      <c r="HJ112" s="25"/>
      <c r="HK112" s="25"/>
      <c r="HL112" s="25"/>
      <c r="HM112" s="25"/>
      <c r="HN112" s="25"/>
      <c r="HO112" s="25"/>
      <c r="HP112" s="25"/>
      <c r="HQ112" s="25"/>
      <c r="HR112" s="25"/>
      <c r="HS112" s="25"/>
      <c r="HT112" s="25"/>
      <c r="HU112" s="25"/>
      <c r="HV112" s="25"/>
      <c r="HW112" s="25"/>
      <c r="HX112" s="25"/>
      <c r="HY112" s="25"/>
      <c r="HZ112" s="25"/>
      <c r="IA112" s="25"/>
      <c r="IB112" s="25"/>
      <c r="IC112" s="25"/>
      <c r="ID112" s="25"/>
      <c r="IE112" s="25"/>
      <c r="IF112" s="25"/>
      <c r="IG112" s="25"/>
      <c r="IH112" s="25"/>
      <c r="II112" s="25"/>
      <c r="IJ112" s="25"/>
      <c r="IK112" s="25"/>
      <c r="IL112" s="25"/>
      <c r="IM112" s="25"/>
      <c r="IN112" s="25"/>
      <c r="IO112" s="25"/>
      <c r="IP112" s="25"/>
      <c r="IQ112" s="25"/>
      <c r="IR112" s="25"/>
      <c r="IS112" s="25"/>
      <c r="IT112" s="25"/>
      <c r="IU112" s="25"/>
      <c r="IV112" s="25"/>
      <c r="IW112" s="25"/>
      <c r="IX112" s="25"/>
      <c r="IY112" s="25"/>
      <c r="IZ112" s="25"/>
      <c r="JA112" s="25"/>
      <c r="JB112" s="25"/>
      <c r="JC112" s="25"/>
      <c r="JD112" s="25"/>
      <c r="JE112" s="25"/>
      <c r="JF112" s="25"/>
      <c r="JG112" s="25"/>
      <c r="JH112" s="25"/>
      <c r="JI112" s="25"/>
      <c r="JJ112" s="25"/>
      <c r="JK112" s="25"/>
      <c r="JL112" s="25"/>
      <c r="JM112" s="25"/>
      <c r="JN112" s="25"/>
      <c r="JO112" s="25"/>
      <c r="JP112" s="25"/>
      <c r="JQ112" s="25"/>
      <c r="JR112" s="25"/>
      <c r="JS112" s="25"/>
      <c r="JT112" s="25"/>
      <c r="JU112" s="25"/>
      <c r="JV112" s="25"/>
      <c r="JW112" s="25"/>
      <c r="JX112" s="25"/>
      <c r="JY112" s="25"/>
      <c r="JZ112" s="25"/>
      <c r="KA112" s="25"/>
      <c r="KB112" s="25"/>
      <c r="KC112" s="25"/>
      <c r="KD112" s="25"/>
      <c r="KE112" s="25"/>
      <c r="KF112" s="25"/>
      <c r="KG112" s="25"/>
      <c r="KH112" s="25"/>
      <c r="KI112" s="25"/>
      <c r="KJ112" s="25"/>
      <c r="KK112" s="25"/>
      <c r="KL112" s="25"/>
      <c r="KM112" s="25"/>
      <c r="KN112" s="25"/>
      <c r="KO112" s="25"/>
      <c r="KP112" s="25"/>
      <c r="KQ112" s="25"/>
      <c r="KR112" s="25"/>
      <c r="KS112" s="25"/>
      <c r="KT112" s="25"/>
      <c r="KU112" s="25"/>
      <c r="KV112" s="25"/>
      <c r="KW112" s="25"/>
      <c r="KX112" s="25"/>
      <c r="KY112" s="25"/>
      <c r="KZ112" s="25"/>
      <c r="LA112" s="25"/>
      <c r="LB112" s="25"/>
      <c r="LC112" s="25"/>
      <c r="LD112" s="25"/>
      <c r="LE112" s="25"/>
      <c r="LF112" s="25"/>
      <c r="LG112" s="25"/>
      <c r="LH112" s="25"/>
      <c r="LI112" s="25"/>
      <c r="LJ112" s="25"/>
      <c r="LK112" s="25"/>
      <c r="LL112" s="25"/>
      <c r="LM112" s="25"/>
      <c r="LN112" s="25"/>
      <c r="LO112" s="25"/>
      <c r="LP112" s="25"/>
      <c r="LQ112" s="25"/>
      <c r="LR112" s="25"/>
      <c r="LS112" s="25"/>
      <c r="LT112" s="25"/>
      <c r="LU112" s="25"/>
      <c r="LV112" s="25"/>
      <c r="LW112" s="25"/>
      <c r="LX112" s="25"/>
      <c r="LY112" s="25"/>
      <c r="LZ112" s="25"/>
      <c r="MA112" s="25"/>
      <c r="MB112" s="25"/>
      <c r="MC112" s="25"/>
      <c r="MD112" s="25"/>
      <c r="ME112" s="25"/>
      <c r="MF112" s="25"/>
      <c r="MG112" s="25"/>
      <c r="MH112" s="25"/>
      <c r="MI112" s="25"/>
      <c r="MJ112" s="25"/>
      <c r="MK112" s="25"/>
      <c r="ML112" s="25"/>
      <c r="MM112" s="25"/>
      <c r="MN112" s="25"/>
      <c r="MO112" s="25"/>
      <c r="MP112" s="25"/>
      <c r="MQ112" s="25"/>
      <c r="MR112" s="25"/>
      <c r="MS112" s="25"/>
      <c r="MT112" s="25"/>
      <c r="MU112" s="25"/>
      <c r="MV112" s="25"/>
      <c r="MW112" s="25"/>
      <c r="MX112" s="25"/>
      <c r="MY112" s="25"/>
      <c r="MZ112" s="25"/>
      <c r="NA112" s="25"/>
      <c r="NB112" s="25"/>
      <c r="NC112" s="25"/>
      <c r="ND112" s="25"/>
      <c r="NE112" s="33"/>
    </row>
    <row r="113" spans="1:427" ht="13.5" customHeight="1" x14ac:dyDescent="0.2">
      <c r="A113" s="28"/>
      <c r="B113" s="22"/>
      <c r="C113" s="26"/>
      <c r="D113" s="44"/>
      <c r="E113" s="23"/>
      <c r="F113" s="24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  <c r="EX113" s="25"/>
      <c r="EY113" s="25"/>
      <c r="EZ113" s="25"/>
      <c r="FA113" s="25"/>
      <c r="FB113" s="25"/>
      <c r="FC113" s="25"/>
      <c r="FD113" s="25"/>
      <c r="FE113" s="25"/>
      <c r="FF113" s="25"/>
      <c r="FG113" s="25"/>
      <c r="FH113" s="25"/>
      <c r="FI113" s="25"/>
      <c r="FJ113" s="25"/>
      <c r="FK113" s="25"/>
      <c r="FL113" s="25"/>
      <c r="FM113" s="25"/>
      <c r="FN113" s="25"/>
      <c r="FO113" s="25"/>
      <c r="FP113" s="25"/>
      <c r="FQ113" s="25"/>
      <c r="FR113" s="25"/>
      <c r="FS113" s="25"/>
      <c r="FT113" s="25"/>
      <c r="FU113" s="25"/>
      <c r="FV113" s="25"/>
      <c r="FW113" s="25"/>
      <c r="FX113" s="25"/>
      <c r="FY113" s="25"/>
      <c r="FZ113" s="25"/>
      <c r="GA113" s="25"/>
      <c r="GB113" s="25"/>
      <c r="GC113" s="25"/>
      <c r="GD113" s="25"/>
      <c r="GE113" s="25"/>
      <c r="GF113" s="25"/>
      <c r="GG113" s="25"/>
      <c r="GH113" s="25"/>
      <c r="GI113" s="25"/>
      <c r="GJ113" s="25"/>
      <c r="GK113" s="25"/>
      <c r="GL113" s="25"/>
      <c r="GM113" s="25"/>
      <c r="GN113" s="25"/>
      <c r="GO113" s="25"/>
      <c r="GP113" s="25"/>
      <c r="GQ113" s="25"/>
      <c r="GR113" s="25"/>
      <c r="GS113" s="25"/>
      <c r="GT113" s="25"/>
      <c r="GU113" s="25"/>
      <c r="GV113" s="25"/>
      <c r="GW113" s="25"/>
      <c r="GX113" s="25"/>
      <c r="GY113" s="25"/>
      <c r="GZ113" s="25"/>
      <c r="HA113" s="25"/>
      <c r="HB113" s="25"/>
      <c r="HC113" s="25"/>
      <c r="HD113" s="25"/>
      <c r="HE113" s="25"/>
      <c r="HF113" s="25"/>
      <c r="HG113" s="25"/>
      <c r="HH113" s="25"/>
      <c r="HI113" s="25"/>
      <c r="HJ113" s="25"/>
      <c r="HK113" s="25"/>
      <c r="HL113" s="25"/>
      <c r="HM113" s="25"/>
      <c r="HN113" s="25"/>
      <c r="HO113" s="25"/>
      <c r="HP113" s="25"/>
      <c r="HQ113" s="25"/>
      <c r="HR113" s="25"/>
      <c r="HS113" s="25"/>
      <c r="HT113" s="25"/>
      <c r="HU113" s="25"/>
      <c r="HV113" s="25"/>
      <c r="HW113" s="25"/>
      <c r="HX113" s="25"/>
      <c r="HY113" s="25"/>
      <c r="HZ113" s="25"/>
      <c r="IA113" s="25"/>
      <c r="IB113" s="25"/>
      <c r="IC113" s="25"/>
      <c r="ID113" s="25"/>
      <c r="IE113" s="25"/>
      <c r="IF113" s="25"/>
      <c r="IG113" s="25"/>
      <c r="IH113" s="25"/>
      <c r="II113" s="25"/>
      <c r="IJ113" s="25"/>
      <c r="IK113" s="25"/>
      <c r="IL113" s="25"/>
      <c r="IM113" s="25"/>
      <c r="IN113" s="25"/>
      <c r="IO113" s="25"/>
      <c r="IP113" s="25"/>
      <c r="IQ113" s="25"/>
      <c r="IR113" s="25"/>
      <c r="IS113" s="25"/>
      <c r="IT113" s="25"/>
      <c r="IU113" s="25"/>
      <c r="IV113" s="25"/>
      <c r="IW113" s="25"/>
      <c r="IX113" s="25"/>
      <c r="IY113" s="25"/>
      <c r="IZ113" s="25"/>
      <c r="JA113" s="25"/>
      <c r="JB113" s="25"/>
      <c r="JC113" s="25"/>
      <c r="JD113" s="25"/>
      <c r="JE113" s="25"/>
      <c r="JF113" s="25"/>
      <c r="JG113" s="25"/>
      <c r="JH113" s="25"/>
      <c r="JI113" s="25"/>
      <c r="JJ113" s="25"/>
      <c r="JK113" s="25"/>
      <c r="JL113" s="25"/>
      <c r="JM113" s="25"/>
      <c r="JN113" s="25"/>
      <c r="JO113" s="25"/>
      <c r="JP113" s="25"/>
      <c r="JQ113" s="25"/>
      <c r="JR113" s="25"/>
      <c r="JS113" s="25"/>
      <c r="JT113" s="25"/>
      <c r="JU113" s="25"/>
      <c r="JV113" s="25"/>
      <c r="JW113" s="25"/>
      <c r="JX113" s="25"/>
      <c r="JY113" s="25"/>
      <c r="JZ113" s="25"/>
      <c r="KA113" s="25"/>
      <c r="KB113" s="25"/>
      <c r="KC113" s="25"/>
      <c r="KD113" s="25"/>
      <c r="KE113" s="25"/>
      <c r="KF113" s="25"/>
      <c r="KG113" s="25"/>
      <c r="KH113" s="25"/>
      <c r="KI113" s="25"/>
      <c r="KJ113" s="25"/>
      <c r="KK113" s="25"/>
      <c r="KL113" s="25"/>
      <c r="KM113" s="25"/>
      <c r="KN113" s="25"/>
      <c r="KO113" s="25"/>
      <c r="KP113" s="25"/>
      <c r="KQ113" s="25"/>
      <c r="KR113" s="25"/>
      <c r="KS113" s="25"/>
      <c r="KT113" s="25"/>
      <c r="KU113" s="25"/>
      <c r="KV113" s="25"/>
      <c r="KW113" s="25"/>
      <c r="KX113" s="25"/>
      <c r="KY113" s="25"/>
      <c r="KZ113" s="25"/>
      <c r="LA113" s="25"/>
      <c r="LB113" s="25"/>
      <c r="LC113" s="25"/>
      <c r="LD113" s="25"/>
      <c r="LE113" s="25"/>
      <c r="LF113" s="25"/>
      <c r="LG113" s="25"/>
      <c r="LH113" s="25"/>
      <c r="LI113" s="25"/>
      <c r="LJ113" s="25"/>
      <c r="LK113" s="25"/>
      <c r="LL113" s="25"/>
      <c r="LM113" s="25"/>
      <c r="LN113" s="25"/>
      <c r="LO113" s="25"/>
      <c r="LP113" s="25"/>
      <c r="LQ113" s="25"/>
      <c r="LR113" s="25"/>
      <c r="LS113" s="25"/>
      <c r="LT113" s="25"/>
      <c r="LU113" s="25"/>
      <c r="LV113" s="25"/>
      <c r="LW113" s="25"/>
      <c r="LX113" s="25"/>
      <c r="LY113" s="25"/>
      <c r="LZ113" s="25"/>
      <c r="MA113" s="25"/>
      <c r="MB113" s="25"/>
      <c r="MC113" s="25"/>
      <c r="MD113" s="25"/>
      <c r="ME113" s="25"/>
      <c r="MF113" s="25"/>
      <c r="MG113" s="25"/>
      <c r="MH113" s="25"/>
      <c r="MI113" s="25"/>
      <c r="MJ113" s="25"/>
      <c r="MK113" s="25"/>
      <c r="ML113" s="25"/>
      <c r="MM113" s="25"/>
      <c r="MN113" s="25"/>
      <c r="MO113" s="25"/>
      <c r="MP113" s="25"/>
      <c r="MQ113" s="25"/>
      <c r="MR113" s="25"/>
      <c r="MS113" s="25"/>
      <c r="MT113" s="25"/>
      <c r="MU113" s="25"/>
      <c r="MV113" s="25"/>
      <c r="MW113" s="25"/>
      <c r="MX113" s="25"/>
      <c r="MY113" s="25"/>
      <c r="MZ113" s="25"/>
      <c r="NA113" s="25"/>
      <c r="NB113" s="25"/>
      <c r="NC113" s="25"/>
      <c r="ND113" s="25"/>
      <c r="NE113" s="33"/>
      <c r="OG113" s="18">
        <v>1</v>
      </c>
      <c r="OH113" s="18">
        <v>43336</v>
      </c>
      <c r="OI113" s="18">
        <v>43388</v>
      </c>
      <c r="PJ113" s="20" t="s">
        <v>11</v>
      </c>
      <c r="PK113" s="20">
        <v>106</v>
      </c>
    </row>
    <row r="114" spans="1:427" ht="0.75" customHeight="1" x14ac:dyDescent="0.2">
      <c r="A114" s="28"/>
      <c r="B114" s="22"/>
      <c r="C114" s="22"/>
      <c r="D114" s="44"/>
      <c r="E114" s="23"/>
      <c r="F114" s="24" t="s">
        <v>10</v>
      </c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  <c r="EX114" s="25"/>
      <c r="EY114" s="25"/>
      <c r="EZ114" s="25"/>
      <c r="FA114" s="25"/>
      <c r="FB114" s="25"/>
      <c r="FC114" s="25"/>
      <c r="FD114" s="25"/>
      <c r="FE114" s="25"/>
      <c r="FF114" s="25"/>
      <c r="FG114" s="25"/>
      <c r="FH114" s="25"/>
      <c r="FI114" s="25"/>
      <c r="FJ114" s="25"/>
      <c r="FK114" s="25"/>
      <c r="FL114" s="25"/>
      <c r="FM114" s="25"/>
      <c r="FN114" s="25"/>
      <c r="FO114" s="25"/>
      <c r="FP114" s="25"/>
      <c r="FQ114" s="25"/>
      <c r="FR114" s="25"/>
      <c r="FS114" s="25"/>
      <c r="FT114" s="25"/>
      <c r="FU114" s="25"/>
      <c r="FV114" s="25"/>
      <c r="FW114" s="25"/>
      <c r="FX114" s="25"/>
      <c r="FY114" s="25"/>
      <c r="FZ114" s="25"/>
      <c r="GA114" s="25"/>
      <c r="GB114" s="25"/>
      <c r="GC114" s="25"/>
      <c r="GD114" s="25"/>
      <c r="GE114" s="25"/>
      <c r="GF114" s="25"/>
      <c r="GG114" s="25"/>
      <c r="GH114" s="25"/>
      <c r="GI114" s="25"/>
      <c r="GJ114" s="25"/>
      <c r="GK114" s="25"/>
      <c r="GL114" s="25"/>
      <c r="GM114" s="25"/>
      <c r="GN114" s="25"/>
      <c r="GO114" s="25"/>
      <c r="GP114" s="25"/>
      <c r="GQ114" s="25"/>
      <c r="GR114" s="25"/>
      <c r="GS114" s="25"/>
      <c r="GT114" s="25"/>
      <c r="GU114" s="25"/>
      <c r="GV114" s="25"/>
      <c r="GW114" s="25"/>
      <c r="GX114" s="25"/>
      <c r="GY114" s="25"/>
      <c r="GZ114" s="25"/>
      <c r="HA114" s="25"/>
      <c r="HB114" s="25"/>
      <c r="HC114" s="25"/>
      <c r="HD114" s="25"/>
      <c r="HE114" s="25"/>
      <c r="HF114" s="25"/>
      <c r="HG114" s="25"/>
      <c r="HH114" s="25"/>
      <c r="HI114" s="25"/>
      <c r="HJ114" s="25"/>
      <c r="HK114" s="25"/>
      <c r="HL114" s="25"/>
      <c r="HM114" s="25"/>
      <c r="HN114" s="25"/>
      <c r="HO114" s="25"/>
      <c r="HP114" s="25"/>
      <c r="HQ114" s="25"/>
      <c r="HR114" s="25"/>
      <c r="HS114" s="25"/>
      <c r="HT114" s="25"/>
      <c r="HU114" s="25"/>
      <c r="HV114" s="25"/>
      <c r="HW114" s="25"/>
      <c r="HX114" s="25"/>
      <c r="HY114" s="25"/>
      <c r="HZ114" s="25"/>
      <c r="IA114" s="25"/>
      <c r="IB114" s="25"/>
      <c r="IC114" s="25"/>
      <c r="ID114" s="25"/>
      <c r="IE114" s="25"/>
      <c r="IF114" s="25"/>
      <c r="IG114" s="25"/>
      <c r="IH114" s="25"/>
      <c r="II114" s="25"/>
      <c r="IJ114" s="25"/>
      <c r="IK114" s="25"/>
      <c r="IL114" s="25"/>
      <c r="IM114" s="25"/>
      <c r="IN114" s="25"/>
      <c r="IO114" s="25"/>
      <c r="IP114" s="25"/>
      <c r="IQ114" s="25"/>
      <c r="IR114" s="25"/>
      <c r="IS114" s="25"/>
      <c r="IT114" s="25"/>
      <c r="IU114" s="25"/>
      <c r="IV114" s="25"/>
      <c r="IW114" s="25"/>
      <c r="IX114" s="25"/>
      <c r="IY114" s="25"/>
      <c r="IZ114" s="25"/>
      <c r="JA114" s="25"/>
      <c r="JB114" s="25"/>
      <c r="JC114" s="25"/>
      <c r="JD114" s="25"/>
      <c r="JE114" s="25"/>
      <c r="JF114" s="25"/>
      <c r="JG114" s="25"/>
      <c r="JH114" s="25"/>
      <c r="JI114" s="25"/>
      <c r="JJ114" s="25"/>
      <c r="JK114" s="25"/>
      <c r="JL114" s="25"/>
      <c r="JM114" s="25"/>
      <c r="JN114" s="25"/>
      <c r="JO114" s="25"/>
      <c r="JP114" s="25"/>
      <c r="JQ114" s="25"/>
      <c r="JR114" s="25"/>
      <c r="JS114" s="25"/>
      <c r="JT114" s="25"/>
      <c r="JU114" s="25"/>
      <c r="JV114" s="25"/>
      <c r="JW114" s="25"/>
      <c r="JX114" s="25"/>
      <c r="JY114" s="25"/>
      <c r="JZ114" s="25"/>
      <c r="KA114" s="25"/>
      <c r="KB114" s="25"/>
      <c r="KC114" s="25"/>
      <c r="KD114" s="25"/>
      <c r="KE114" s="25"/>
      <c r="KF114" s="25"/>
      <c r="KG114" s="25"/>
      <c r="KH114" s="25"/>
      <c r="KI114" s="25"/>
      <c r="KJ114" s="25"/>
      <c r="KK114" s="25"/>
      <c r="KL114" s="25"/>
      <c r="KM114" s="25"/>
      <c r="KN114" s="25"/>
      <c r="KO114" s="25"/>
      <c r="KP114" s="25"/>
      <c r="KQ114" s="25"/>
      <c r="KR114" s="25"/>
      <c r="KS114" s="25"/>
      <c r="KT114" s="25"/>
      <c r="KU114" s="25"/>
      <c r="KV114" s="25"/>
      <c r="KW114" s="25"/>
      <c r="KX114" s="25"/>
      <c r="KY114" s="25"/>
      <c r="KZ114" s="25"/>
      <c r="LA114" s="25"/>
      <c r="LB114" s="25"/>
      <c r="LC114" s="25"/>
      <c r="LD114" s="25"/>
      <c r="LE114" s="25"/>
      <c r="LF114" s="25"/>
      <c r="LG114" s="25"/>
      <c r="LH114" s="25"/>
      <c r="LI114" s="25"/>
      <c r="LJ114" s="25"/>
      <c r="LK114" s="25"/>
      <c r="LL114" s="25"/>
      <c r="LM114" s="25"/>
      <c r="LN114" s="25"/>
      <c r="LO114" s="25"/>
      <c r="LP114" s="25"/>
      <c r="LQ114" s="25"/>
      <c r="LR114" s="25"/>
      <c r="LS114" s="25"/>
      <c r="LT114" s="25"/>
      <c r="LU114" s="25"/>
      <c r="LV114" s="25"/>
      <c r="LW114" s="25"/>
      <c r="LX114" s="25"/>
      <c r="LY114" s="25"/>
      <c r="LZ114" s="25"/>
      <c r="MA114" s="25"/>
      <c r="MB114" s="25"/>
      <c r="MC114" s="25"/>
      <c r="MD114" s="25"/>
      <c r="ME114" s="25"/>
      <c r="MF114" s="25"/>
      <c r="MG114" s="25"/>
      <c r="MH114" s="25"/>
      <c r="MI114" s="25"/>
      <c r="MJ114" s="25"/>
      <c r="MK114" s="25"/>
      <c r="ML114" s="25"/>
      <c r="MM114" s="25"/>
      <c r="MN114" s="25"/>
      <c r="MO114" s="25"/>
      <c r="MP114" s="25"/>
      <c r="MQ114" s="25"/>
      <c r="MR114" s="25"/>
      <c r="MS114" s="25"/>
      <c r="MT114" s="25"/>
      <c r="MU114" s="25"/>
      <c r="MV114" s="25"/>
      <c r="MW114" s="25"/>
      <c r="MX114" s="25"/>
      <c r="MY114" s="25"/>
      <c r="MZ114" s="25"/>
      <c r="NA114" s="25"/>
      <c r="NB114" s="25"/>
      <c r="NC114" s="25"/>
      <c r="ND114" s="25"/>
      <c r="NE114" s="33"/>
    </row>
    <row r="115" spans="1:427" ht="13.5" customHeight="1" x14ac:dyDescent="0.2">
      <c r="A115" s="28"/>
      <c r="B115" s="22"/>
      <c r="C115" s="26"/>
      <c r="D115" s="44"/>
      <c r="E115" s="23"/>
      <c r="F115" s="24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  <c r="EX115" s="25"/>
      <c r="EY115" s="25"/>
      <c r="EZ115" s="25"/>
      <c r="FA115" s="25"/>
      <c r="FB115" s="25"/>
      <c r="FC115" s="25"/>
      <c r="FD115" s="25"/>
      <c r="FE115" s="25"/>
      <c r="FF115" s="25"/>
      <c r="FG115" s="25"/>
      <c r="FH115" s="25"/>
      <c r="FI115" s="25"/>
      <c r="FJ115" s="25"/>
      <c r="FK115" s="25"/>
      <c r="FL115" s="25"/>
      <c r="FM115" s="25"/>
      <c r="FN115" s="25"/>
      <c r="FO115" s="25"/>
      <c r="FP115" s="25"/>
      <c r="FQ115" s="25"/>
      <c r="FR115" s="25"/>
      <c r="FS115" s="25"/>
      <c r="FT115" s="2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25"/>
      <c r="GO115" s="25"/>
      <c r="GP115" s="25"/>
      <c r="GQ115" s="25"/>
      <c r="GR115" s="25"/>
      <c r="GS115" s="25"/>
      <c r="GT115" s="25"/>
      <c r="GU115" s="25"/>
      <c r="GV115" s="25"/>
      <c r="GW115" s="25"/>
      <c r="GX115" s="25"/>
      <c r="GY115" s="25"/>
      <c r="GZ115" s="25"/>
      <c r="HA115" s="25"/>
      <c r="HB115" s="25"/>
      <c r="HC115" s="25"/>
      <c r="HD115" s="25"/>
      <c r="HE115" s="25"/>
      <c r="HF115" s="25"/>
      <c r="HG115" s="25"/>
      <c r="HH115" s="25"/>
      <c r="HI115" s="25"/>
      <c r="HJ115" s="25"/>
      <c r="HK115" s="25"/>
      <c r="HL115" s="25"/>
      <c r="HM115" s="25"/>
      <c r="HN115" s="25"/>
      <c r="HO115" s="25"/>
      <c r="HP115" s="25"/>
      <c r="HQ115" s="25"/>
      <c r="HR115" s="25"/>
      <c r="HS115" s="25"/>
      <c r="HT115" s="25"/>
      <c r="HU115" s="25"/>
      <c r="HV115" s="25"/>
      <c r="HW115" s="25"/>
      <c r="HX115" s="25"/>
      <c r="HY115" s="25"/>
      <c r="HZ115" s="25"/>
      <c r="IA115" s="25"/>
      <c r="IB115" s="25"/>
      <c r="IC115" s="25"/>
      <c r="ID115" s="25"/>
      <c r="IE115" s="25"/>
      <c r="IF115" s="25"/>
      <c r="IG115" s="25"/>
      <c r="IH115" s="25"/>
      <c r="II115" s="25"/>
      <c r="IJ115" s="25"/>
      <c r="IK115" s="25"/>
      <c r="IL115" s="25"/>
      <c r="IM115" s="25"/>
      <c r="IN115" s="25"/>
      <c r="IO115" s="25"/>
      <c r="IP115" s="25"/>
      <c r="IQ115" s="25"/>
      <c r="IR115" s="25"/>
      <c r="IS115" s="25"/>
      <c r="IT115" s="25"/>
      <c r="IU115" s="25"/>
      <c r="IV115" s="25"/>
      <c r="IW115" s="25"/>
      <c r="IX115" s="25"/>
      <c r="IY115" s="25"/>
      <c r="IZ115" s="25"/>
      <c r="JA115" s="25"/>
      <c r="JB115" s="25"/>
      <c r="JC115" s="25"/>
      <c r="JD115" s="25"/>
      <c r="JE115" s="25"/>
      <c r="JF115" s="25"/>
      <c r="JG115" s="25"/>
      <c r="JH115" s="25"/>
      <c r="JI115" s="25"/>
      <c r="JJ115" s="25"/>
      <c r="JK115" s="25"/>
      <c r="JL115" s="25"/>
      <c r="JM115" s="25"/>
      <c r="JN115" s="25"/>
      <c r="JO115" s="25"/>
      <c r="JP115" s="25"/>
      <c r="JQ115" s="25"/>
      <c r="JR115" s="25"/>
      <c r="JS115" s="25"/>
      <c r="JT115" s="25"/>
      <c r="JU115" s="25"/>
      <c r="JV115" s="25"/>
      <c r="JW115" s="25"/>
      <c r="JX115" s="25"/>
      <c r="JY115" s="25"/>
      <c r="JZ115" s="25"/>
      <c r="KA115" s="25"/>
      <c r="KB115" s="25"/>
      <c r="KC115" s="25"/>
      <c r="KD115" s="25"/>
      <c r="KE115" s="25"/>
      <c r="KF115" s="25"/>
      <c r="KG115" s="25"/>
      <c r="KH115" s="25"/>
      <c r="KI115" s="25"/>
      <c r="KJ115" s="25"/>
      <c r="KK115" s="25"/>
      <c r="KL115" s="25"/>
      <c r="KM115" s="25"/>
      <c r="KN115" s="25"/>
      <c r="KO115" s="25"/>
      <c r="KP115" s="25"/>
      <c r="KQ115" s="25"/>
      <c r="KR115" s="25"/>
      <c r="KS115" s="25"/>
      <c r="KT115" s="25"/>
      <c r="KU115" s="25"/>
      <c r="KV115" s="25"/>
      <c r="KW115" s="25"/>
      <c r="KX115" s="25"/>
      <c r="KY115" s="25"/>
      <c r="KZ115" s="25"/>
      <c r="LA115" s="25"/>
      <c r="LB115" s="25"/>
      <c r="LC115" s="25"/>
      <c r="LD115" s="25"/>
      <c r="LE115" s="25"/>
      <c r="LF115" s="25"/>
      <c r="LG115" s="25"/>
      <c r="LH115" s="25"/>
      <c r="LI115" s="25"/>
      <c r="LJ115" s="25"/>
      <c r="LK115" s="25"/>
      <c r="LL115" s="25"/>
      <c r="LM115" s="25"/>
      <c r="LN115" s="25"/>
      <c r="LO115" s="25"/>
      <c r="LP115" s="25"/>
      <c r="LQ115" s="25"/>
      <c r="LR115" s="25"/>
      <c r="LS115" s="25"/>
      <c r="LT115" s="25"/>
      <c r="LU115" s="25"/>
      <c r="LV115" s="25"/>
      <c r="LW115" s="25"/>
      <c r="LX115" s="25"/>
      <c r="LY115" s="25"/>
      <c r="LZ115" s="25"/>
      <c r="MA115" s="25"/>
      <c r="MB115" s="25"/>
      <c r="MC115" s="25"/>
      <c r="MD115" s="25"/>
      <c r="ME115" s="25"/>
      <c r="MF115" s="25"/>
      <c r="MG115" s="25"/>
      <c r="MH115" s="25"/>
      <c r="MI115" s="25"/>
      <c r="MJ115" s="25"/>
      <c r="MK115" s="25"/>
      <c r="ML115" s="25"/>
      <c r="MM115" s="25"/>
      <c r="MN115" s="25"/>
      <c r="MO115" s="25"/>
      <c r="MP115" s="25"/>
      <c r="MQ115" s="25"/>
      <c r="MR115" s="25"/>
      <c r="MS115" s="25"/>
      <c r="MT115" s="25"/>
      <c r="MU115" s="25"/>
      <c r="MV115" s="25"/>
      <c r="MW115" s="25"/>
      <c r="MX115" s="25"/>
      <c r="MY115" s="25"/>
      <c r="MZ115" s="25"/>
      <c r="NA115" s="25"/>
      <c r="NB115" s="25"/>
      <c r="NC115" s="25"/>
      <c r="ND115" s="25"/>
      <c r="NE115" s="33"/>
      <c r="OG115" s="18">
        <v>1</v>
      </c>
      <c r="OH115" s="18">
        <v>43196</v>
      </c>
      <c r="OI115" s="18">
        <v>43248</v>
      </c>
      <c r="PJ115" s="20" t="s">
        <v>11</v>
      </c>
      <c r="PK115" s="20">
        <v>106</v>
      </c>
    </row>
    <row r="116" spans="1:427" ht="0.75" customHeight="1" x14ac:dyDescent="0.2">
      <c r="A116" s="28"/>
      <c r="B116" s="22"/>
      <c r="C116" s="22"/>
      <c r="D116" s="44"/>
      <c r="E116" s="23"/>
      <c r="F116" s="24" t="s">
        <v>10</v>
      </c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  <c r="EX116" s="25"/>
      <c r="EY116" s="25"/>
      <c r="EZ116" s="25"/>
      <c r="FA116" s="25"/>
      <c r="FB116" s="25"/>
      <c r="FC116" s="25"/>
      <c r="FD116" s="25"/>
      <c r="FE116" s="25"/>
      <c r="FF116" s="25"/>
      <c r="FG116" s="25"/>
      <c r="FH116" s="25"/>
      <c r="FI116" s="25"/>
      <c r="FJ116" s="25"/>
      <c r="FK116" s="25"/>
      <c r="FL116" s="25"/>
      <c r="FM116" s="25"/>
      <c r="FN116" s="25"/>
      <c r="FO116" s="25"/>
      <c r="FP116" s="25"/>
      <c r="FQ116" s="25"/>
      <c r="FR116" s="25"/>
      <c r="FS116" s="25"/>
      <c r="FT116" s="25"/>
      <c r="FU116" s="25"/>
      <c r="FV116" s="25"/>
      <c r="FW116" s="25"/>
      <c r="FX116" s="25"/>
      <c r="FY116" s="25"/>
      <c r="FZ116" s="25"/>
      <c r="GA116" s="25"/>
      <c r="GB116" s="25"/>
      <c r="GC116" s="25"/>
      <c r="GD116" s="25"/>
      <c r="GE116" s="25"/>
      <c r="GF116" s="25"/>
      <c r="GG116" s="25"/>
      <c r="GH116" s="25"/>
      <c r="GI116" s="25"/>
      <c r="GJ116" s="25"/>
      <c r="GK116" s="25"/>
      <c r="GL116" s="25"/>
      <c r="GM116" s="25"/>
      <c r="GN116" s="25"/>
      <c r="GO116" s="25"/>
      <c r="GP116" s="25"/>
      <c r="GQ116" s="25"/>
      <c r="GR116" s="25"/>
      <c r="GS116" s="25"/>
      <c r="GT116" s="25"/>
      <c r="GU116" s="25"/>
      <c r="GV116" s="25"/>
      <c r="GW116" s="25"/>
      <c r="GX116" s="25"/>
      <c r="GY116" s="25"/>
      <c r="GZ116" s="25"/>
      <c r="HA116" s="25"/>
      <c r="HB116" s="25"/>
      <c r="HC116" s="25"/>
      <c r="HD116" s="25"/>
      <c r="HE116" s="25"/>
      <c r="HF116" s="25"/>
      <c r="HG116" s="25"/>
      <c r="HH116" s="25"/>
      <c r="HI116" s="25"/>
      <c r="HJ116" s="25"/>
      <c r="HK116" s="25"/>
      <c r="HL116" s="25"/>
      <c r="HM116" s="25"/>
      <c r="HN116" s="25"/>
      <c r="HO116" s="25"/>
      <c r="HP116" s="25"/>
      <c r="HQ116" s="25"/>
      <c r="HR116" s="25"/>
      <c r="HS116" s="25"/>
      <c r="HT116" s="25"/>
      <c r="HU116" s="25"/>
      <c r="HV116" s="25"/>
      <c r="HW116" s="25"/>
      <c r="HX116" s="25"/>
      <c r="HY116" s="25"/>
      <c r="HZ116" s="25"/>
      <c r="IA116" s="25"/>
      <c r="IB116" s="25"/>
      <c r="IC116" s="25"/>
      <c r="ID116" s="25"/>
      <c r="IE116" s="25"/>
      <c r="IF116" s="25"/>
      <c r="IG116" s="25"/>
      <c r="IH116" s="25"/>
      <c r="II116" s="25"/>
      <c r="IJ116" s="25"/>
      <c r="IK116" s="25"/>
      <c r="IL116" s="25"/>
      <c r="IM116" s="25"/>
      <c r="IN116" s="25"/>
      <c r="IO116" s="25"/>
      <c r="IP116" s="25"/>
      <c r="IQ116" s="25"/>
      <c r="IR116" s="25"/>
      <c r="IS116" s="25"/>
      <c r="IT116" s="25"/>
      <c r="IU116" s="25"/>
      <c r="IV116" s="25"/>
      <c r="IW116" s="25"/>
      <c r="IX116" s="25"/>
      <c r="IY116" s="25"/>
      <c r="IZ116" s="25"/>
      <c r="JA116" s="25"/>
      <c r="JB116" s="25"/>
      <c r="JC116" s="25"/>
      <c r="JD116" s="25"/>
      <c r="JE116" s="25"/>
      <c r="JF116" s="25"/>
      <c r="JG116" s="25"/>
      <c r="JH116" s="25"/>
      <c r="JI116" s="25"/>
      <c r="JJ116" s="25"/>
      <c r="JK116" s="25"/>
      <c r="JL116" s="25"/>
      <c r="JM116" s="25"/>
      <c r="JN116" s="25"/>
      <c r="JO116" s="25"/>
      <c r="JP116" s="25"/>
      <c r="JQ116" s="25"/>
      <c r="JR116" s="25"/>
      <c r="JS116" s="25"/>
      <c r="JT116" s="25"/>
      <c r="JU116" s="25"/>
      <c r="JV116" s="25"/>
      <c r="JW116" s="25"/>
      <c r="JX116" s="25"/>
      <c r="JY116" s="25"/>
      <c r="JZ116" s="25"/>
      <c r="KA116" s="25"/>
      <c r="KB116" s="25"/>
      <c r="KC116" s="25"/>
      <c r="KD116" s="25"/>
      <c r="KE116" s="25"/>
      <c r="KF116" s="25"/>
      <c r="KG116" s="25"/>
      <c r="KH116" s="25"/>
      <c r="KI116" s="25"/>
      <c r="KJ116" s="25"/>
      <c r="KK116" s="25"/>
      <c r="KL116" s="25"/>
      <c r="KM116" s="25"/>
      <c r="KN116" s="25"/>
      <c r="KO116" s="25"/>
      <c r="KP116" s="25"/>
      <c r="KQ116" s="25"/>
      <c r="KR116" s="25"/>
      <c r="KS116" s="25"/>
      <c r="KT116" s="25"/>
      <c r="KU116" s="25"/>
      <c r="KV116" s="25"/>
      <c r="KW116" s="25"/>
      <c r="KX116" s="25"/>
      <c r="KY116" s="25"/>
      <c r="KZ116" s="25"/>
      <c r="LA116" s="25"/>
      <c r="LB116" s="25"/>
      <c r="LC116" s="25"/>
      <c r="LD116" s="25"/>
      <c r="LE116" s="25"/>
      <c r="LF116" s="25"/>
      <c r="LG116" s="25"/>
      <c r="LH116" s="25"/>
      <c r="LI116" s="25"/>
      <c r="LJ116" s="25"/>
      <c r="LK116" s="25"/>
      <c r="LL116" s="25"/>
      <c r="LM116" s="25"/>
      <c r="LN116" s="25"/>
      <c r="LO116" s="25"/>
      <c r="LP116" s="25"/>
      <c r="LQ116" s="25"/>
      <c r="LR116" s="25"/>
      <c r="LS116" s="25"/>
      <c r="LT116" s="25"/>
      <c r="LU116" s="25"/>
      <c r="LV116" s="25"/>
      <c r="LW116" s="25"/>
      <c r="LX116" s="25"/>
      <c r="LY116" s="25"/>
      <c r="LZ116" s="25"/>
      <c r="MA116" s="25"/>
      <c r="MB116" s="25"/>
      <c r="MC116" s="25"/>
      <c r="MD116" s="25"/>
      <c r="ME116" s="25"/>
      <c r="MF116" s="25"/>
      <c r="MG116" s="25"/>
      <c r="MH116" s="25"/>
      <c r="MI116" s="25"/>
      <c r="MJ116" s="25"/>
      <c r="MK116" s="25"/>
      <c r="ML116" s="25"/>
      <c r="MM116" s="25"/>
      <c r="MN116" s="25"/>
      <c r="MO116" s="25"/>
      <c r="MP116" s="25"/>
      <c r="MQ116" s="25"/>
      <c r="MR116" s="25"/>
      <c r="MS116" s="25"/>
      <c r="MT116" s="25"/>
      <c r="MU116" s="25"/>
      <c r="MV116" s="25"/>
      <c r="MW116" s="25"/>
      <c r="MX116" s="25"/>
      <c r="MY116" s="25"/>
      <c r="MZ116" s="25"/>
      <c r="NA116" s="25"/>
      <c r="NB116" s="25"/>
      <c r="NC116" s="25"/>
      <c r="ND116" s="25"/>
      <c r="NE116" s="33"/>
    </row>
    <row r="117" spans="1:427" ht="13.5" customHeight="1" x14ac:dyDescent="0.2">
      <c r="A117" s="28"/>
      <c r="B117" s="22"/>
      <c r="C117" s="26"/>
      <c r="D117" s="44"/>
      <c r="E117" s="23"/>
      <c r="F117" s="24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  <c r="EX117" s="25"/>
      <c r="EY117" s="25"/>
      <c r="EZ117" s="25"/>
      <c r="FA117" s="25"/>
      <c r="FB117" s="25"/>
      <c r="FC117" s="25"/>
      <c r="FD117" s="25"/>
      <c r="FE117" s="25"/>
      <c r="FF117" s="25"/>
      <c r="FG117" s="25"/>
      <c r="FH117" s="25"/>
      <c r="FI117" s="25"/>
      <c r="FJ117" s="25"/>
      <c r="FK117" s="25"/>
      <c r="FL117" s="25"/>
      <c r="FM117" s="25"/>
      <c r="FN117" s="25"/>
      <c r="FO117" s="25"/>
      <c r="FP117" s="25"/>
      <c r="FQ117" s="25"/>
      <c r="FR117" s="25"/>
      <c r="FS117" s="25"/>
      <c r="FT117" s="25"/>
      <c r="FU117" s="25"/>
      <c r="FV117" s="25"/>
      <c r="FW117" s="25"/>
      <c r="FX117" s="25"/>
      <c r="FY117" s="25"/>
      <c r="FZ117" s="25"/>
      <c r="GA117" s="25"/>
      <c r="GB117" s="25"/>
      <c r="GC117" s="25"/>
      <c r="GD117" s="25"/>
      <c r="GE117" s="25"/>
      <c r="GF117" s="25"/>
      <c r="GG117" s="25"/>
      <c r="GH117" s="25"/>
      <c r="GI117" s="25"/>
      <c r="GJ117" s="25"/>
      <c r="GK117" s="25"/>
      <c r="GL117" s="25"/>
      <c r="GM117" s="25"/>
      <c r="GN117" s="25"/>
      <c r="GO117" s="25"/>
      <c r="GP117" s="25"/>
      <c r="GQ117" s="25"/>
      <c r="GR117" s="25"/>
      <c r="GS117" s="25"/>
      <c r="GT117" s="25"/>
      <c r="GU117" s="25"/>
      <c r="GV117" s="25"/>
      <c r="GW117" s="25"/>
      <c r="GX117" s="25"/>
      <c r="GY117" s="25"/>
      <c r="GZ117" s="25"/>
      <c r="HA117" s="25"/>
      <c r="HB117" s="25"/>
      <c r="HC117" s="25"/>
      <c r="HD117" s="25"/>
      <c r="HE117" s="25"/>
      <c r="HF117" s="25"/>
      <c r="HG117" s="25"/>
      <c r="HH117" s="25"/>
      <c r="HI117" s="25"/>
      <c r="HJ117" s="25"/>
      <c r="HK117" s="25"/>
      <c r="HL117" s="25"/>
      <c r="HM117" s="25"/>
      <c r="HN117" s="25"/>
      <c r="HO117" s="25"/>
      <c r="HP117" s="25"/>
      <c r="HQ117" s="25"/>
      <c r="HR117" s="25"/>
      <c r="HS117" s="25"/>
      <c r="HT117" s="25"/>
      <c r="HU117" s="25"/>
      <c r="HV117" s="25"/>
      <c r="HW117" s="25"/>
      <c r="HX117" s="25"/>
      <c r="HY117" s="25"/>
      <c r="HZ117" s="25"/>
      <c r="IA117" s="25"/>
      <c r="IB117" s="25"/>
      <c r="IC117" s="25"/>
      <c r="ID117" s="25"/>
      <c r="IE117" s="25"/>
      <c r="IF117" s="25"/>
      <c r="IG117" s="25"/>
      <c r="IH117" s="25"/>
      <c r="II117" s="25"/>
      <c r="IJ117" s="25"/>
      <c r="IK117" s="25"/>
      <c r="IL117" s="25"/>
      <c r="IM117" s="25"/>
      <c r="IN117" s="25"/>
      <c r="IO117" s="25"/>
      <c r="IP117" s="25"/>
      <c r="IQ117" s="25"/>
      <c r="IR117" s="25"/>
      <c r="IS117" s="25"/>
      <c r="IT117" s="25"/>
      <c r="IU117" s="25"/>
      <c r="IV117" s="25"/>
      <c r="IW117" s="25"/>
      <c r="IX117" s="25"/>
      <c r="IY117" s="25"/>
      <c r="IZ117" s="25"/>
      <c r="JA117" s="25"/>
      <c r="JB117" s="25"/>
      <c r="JC117" s="25"/>
      <c r="JD117" s="25"/>
      <c r="JE117" s="25"/>
      <c r="JF117" s="25"/>
      <c r="JG117" s="25"/>
      <c r="JH117" s="25"/>
      <c r="JI117" s="25"/>
      <c r="JJ117" s="25"/>
      <c r="JK117" s="25"/>
      <c r="JL117" s="25"/>
      <c r="JM117" s="25"/>
      <c r="JN117" s="25"/>
      <c r="JO117" s="25"/>
      <c r="JP117" s="25"/>
      <c r="JQ117" s="25"/>
      <c r="JR117" s="25"/>
      <c r="JS117" s="25"/>
      <c r="JT117" s="25"/>
      <c r="JU117" s="25"/>
      <c r="JV117" s="25"/>
      <c r="JW117" s="25"/>
      <c r="JX117" s="25"/>
      <c r="JY117" s="25"/>
      <c r="JZ117" s="25"/>
      <c r="KA117" s="25"/>
      <c r="KB117" s="25"/>
      <c r="KC117" s="25"/>
      <c r="KD117" s="25"/>
      <c r="KE117" s="25"/>
      <c r="KF117" s="25"/>
      <c r="KG117" s="25"/>
      <c r="KH117" s="25"/>
      <c r="KI117" s="25"/>
      <c r="KJ117" s="25"/>
      <c r="KK117" s="25"/>
      <c r="KL117" s="25"/>
      <c r="KM117" s="25"/>
      <c r="KN117" s="25"/>
      <c r="KO117" s="25"/>
      <c r="KP117" s="25"/>
      <c r="KQ117" s="25"/>
      <c r="KR117" s="25"/>
      <c r="KS117" s="25"/>
      <c r="KT117" s="25"/>
      <c r="KU117" s="25"/>
      <c r="KV117" s="25"/>
      <c r="KW117" s="25"/>
      <c r="KX117" s="25"/>
      <c r="KY117" s="25"/>
      <c r="KZ117" s="25"/>
      <c r="LA117" s="25"/>
      <c r="LB117" s="25"/>
      <c r="LC117" s="25"/>
      <c r="LD117" s="25"/>
      <c r="LE117" s="25"/>
      <c r="LF117" s="25"/>
      <c r="LG117" s="25"/>
      <c r="LH117" s="25"/>
      <c r="LI117" s="25"/>
      <c r="LJ117" s="25"/>
      <c r="LK117" s="25"/>
      <c r="LL117" s="25"/>
      <c r="LM117" s="25"/>
      <c r="LN117" s="25"/>
      <c r="LO117" s="25"/>
      <c r="LP117" s="25"/>
      <c r="LQ117" s="25"/>
      <c r="LR117" s="25"/>
      <c r="LS117" s="25"/>
      <c r="LT117" s="25"/>
      <c r="LU117" s="25"/>
      <c r="LV117" s="25"/>
      <c r="LW117" s="25"/>
      <c r="LX117" s="25"/>
      <c r="LY117" s="25"/>
      <c r="LZ117" s="25"/>
      <c r="MA117" s="25"/>
      <c r="MB117" s="25"/>
      <c r="MC117" s="25"/>
      <c r="MD117" s="25"/>
      <c r="ME117" s="25"/>
      <c r="MF117" s="25"/>
      <c r="MG117" s="25"/>
      <c r="MH117" s="25"/>
      <c r="MI117" s="25"/>
      <c r="MJ117" s="25"/>
      <c r="MK117" s="25"/>
      <c r="ML117" s="25"/>
      <c r="MM117" s="25"/>
      <c r="MN117" s="25"/>
      <c r="MO117" s="25"/>
      <c r="MP117" s="25"/>
      <c r="MQ117" s="25"/>
      <c r="MR117" s="25"/>
      <c r="MS117" s="25"/>
      <c r="MT117" s="25"/>
      <c r="MU117" s="25"/>
      <c r="MV117" s="25"/>
      <c r="MW117" s="25"/>
      <c r="MX117" s="25"/>
      <c r="MY117" s="25"/>
      <c r="MZ117" s="25"/>
      <c r="NA117" s="25"/>
      <c r="NB117" s="25"/>
      <c r="NC117" s="25"/>
      <c r="ND117" s="25"/>
      <c r="NE117" s="33"/>
      <c r="OG117" s="18">
        <v>1</v>
      </c>
      <c r="OH117" s="18">
        <v>43336</v>
      </c>
      <c r="OI117" s="18">
        <v>43388</v>
      </c>
      <c r="PJ117" s="20" t="s">
        <v>11</v>
      </c>
      <c r="PK117" s="20">
        <v>106</v>
      </c>
    </row>
    <row r="118" spans="1:427" ht="0.75" customHeight="1" x14ac:dyDescent="0.2">
      <c r="A118" s="28"/>
      <c r="B118" s="22"/>
      <c r="C118" s="22"/>
      <c r="D118" s="44"/>
      <c r="E118" s="23"/>
      <c r="F118" s="24" t="s">
        <v>10</v>
      </c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  <c r="HM118" s="25"/>
      <c r="HN118" s="25"/>
      <c r="HO118" s="25"/>
      <c r="HP118" s="25"/>
      <c r="HQ118" s="25"/>
      <c r="HR118" s="25"/>
      <c r="HS118" s="25"/>
      <c r="HT118" s="25"/>
      <c r="HU118" s="25"/>
      <c r="HV118" s="25"/>
      <c r="HW118" s="25"/>
      <c r="HX118" s="25"/>
      <c r="HY118" s="25"/>
      <c r="HZ118" s="25"/>
      <c r="IA118" s="25"/>
      <c r="IB118" s="25"/>
      <c r="IC118" s="25"/>
      <c r="ID118" s="25"/>
      <c r="IE118" s="25"/>
      <c r="IF118" s="25"/>
      <c r="IG118" s="25"/>
      <c r="IH118" s="25"/>
      <c r="II118" s="25"/>
      <c r="IJ118" s="25"/>
      <c r="IK118" s="25"/>
      <c r="IL118" s="25"/>
      <c r="IM118" s="25"/>
      <c r="IN118" s="25"/>
      <c r="IO118" s="25"/>
      <c r="IP118" s="25"/>
      <c r="IQ118" s="25"/>
      <c r="IR118" s="25"/>
      <c r="IS118" s="25"/>
      <c r="IT118" s="25"/>
      <c r="IU118" s="25"/>
      <c r="IV118" s="25"/>
      <c r="IW118" s="25"/>
      <c r="IX118" s="25"/>
      <c r="IY118" s="25"/>
      <c r="IZ118" s="25"/>
      <c r="JA118" s="25"/>
      <c r="JB118" s="25"/>
      <c r="JC118" s="25"/>
      <c r="JD118" s="25"/>
      <c r="JE118" s="25"/>
      <c r="JF118" s="25"/>
      <c r="JG118" s="25"/>
      <c r="JH118" s="25"/>
      <c r="JI118" s="25"/>
      <c r="JJ118" s="25"/>
      <c r="JK118" s="25"/>
      <c r="JL118" s="25"/>
      <c r="JM118" s="25"/>
      <c r="JN118" s="25"/>
      <c r="JO118" s="25"/>
      <c r="JP118" s="25"/>
      <c r="JQ118" s="25"/>
      <c r="JR118" s="25"/>
      <c r="JS118" s="25"/>
      <c r="JT118" s="25"/>
      <c r="JU118" s="25"/>
      <c r="JV118" s="25"/>
      <c r="JW118" s="25"/>
      <c r="JX118" s="25"/>
      <c r="JY118" s="25"/>
      <c r="JZ118" s="25"/>
      <c r="KA118" s="25"/>
      <c r="KB118" s="25"/>
      <c r="KC118" s="25"/>
      <c r="KD118" s="25"/>
      <c r="KE118" s="25"/>
      <c r="KF118" s="25"/>
      <c r="KG118" s="25"/>
      <c r="KH118" s="25"/>
      <c r="KI118" s="25"/>
      <c r="KJ118" s="25"/>
      <c r="KK118" s="25"/>
      <c r="KL118" s="25"/>
      <c r="KM118" s="25"/>
      <c r="KN118" s="25"/>
      <c r="KO118" s="25"/>
      <c r="KP118" s="25"/>
      <c r="KQ118" s="25"/>
      <c r="KR118" s="25"/>
      <c r="KS118" s="25"/>
      <c r="KT118" s="25"/>
      <c r="KU118" s="25"/>
      <c r="KV118" s="25"/>
      <c r="KW118" s="25"/>
      <c r="KX118" s="25"/>
      <c r="KY118" s="25"/>
      <c r="KZ118" s="25"/>
      <c r="LA118" s="25"/>
      <c r="LB118" s="25"/>
      <c r="LC118" s="25"/>
      <c r="LD118" s="25"/>
      <c r="LE118" s="25"/>
      <c r="LF118" s="25"/>
      <c r="LG118" s="25"/>
      <c r="LH118" s="25"/>
      <c r="LI118" s="25"/>
      <c r="LJ118" s="25"/>
      <c r="LK118" s="25"/>
      <c r="LL118" s="25"/>
      <c r="LM118" s="25"/>
      <c r="LN118" s="25"/>
      <c r="LO118" s="25"/>
      <c r="LP118" s="25"/>
      <c r="LQ118" s="25"/>
      <c r="LR118" s="25"/>
      <c r="LS118" s="25"/>
      <c r="LT118" s="25"/>
      <c r="LU118" s="25"/>
      <c r="LV118" s="25"/>
      <c r="LW118" s="25"/>
      <c r="LX118" s="25"/>
      <c r="LY118" s="25"/>
      <c r="LZ118" s="25"/>
      <c r="MA118" s="25"/>
      <c r="MB118" s="25"/>
      <c r="MC118" s="25"/>
      <c r="MD118" s="25"/>
      <c r="ME118" s="25"/>
      <c r="MF118" s="25"/>
      <c r="MG118" s="25"/>
      <c r="MH118" s="25"/>
      <c r="MI118" s="25"/>
      <c r="MJ118" s="25"/>
      <c r="MK118" s="25"/>
      <c r="ML118" s="25"/>
      <c r="MM118" s="25"/>
      <c r="MN118" s="25"/>
      <c r="MO118" s="25"/>
      <c r="MP118" s="25"/>
      <c r="MQ118" s="25"/>
      <c r="MR118" s="25"/>
      <c r="MS118" s="25"/>
      <c r="MT118" s="25"/>
      <c r="MU118" s="25"/>
      <c r="MV118" s="25"/>
      <c r="MW118" s="25"/>
      <c r="MX118" s="25"/>
      <c r="MY118" s="25"/>
      <c r="MZ118" s="25"/>
      <c r="NA118" s="25"/>
      <c r="NB118" s="25"/>
      <c r="NC118" s="25"/>
      <c r="ND118" s="25"/>
      <c r="NE118" s="33"/>
    </row>
    <row r="119" spans="1:427" ht="13.5" customHeight="1" x14ac:dyDescent="0.2">
      <c r="A119" s="28"/>
      <c r="B119" s="22"/>
      <c r="C119" s="26"/>
      <c r="D119" s="44"/>
      <c r="E119" s="23"/>
      <c r="F119" s="24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  <c r="FL119" s="25"/>
      <c r="FM119" s="25"/>
      <c r="FN119" s="25"/>
      <c r="FO119" s="25"/>
      <c r="FP119" s="25"/>
      <c r="FQ119" s="25"/>
      <c r="FR119" s="25"/>
      <c r="FS119" s="25"/>
      <c r="FT119" s="2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5"/>
      <c r="GO119" s="25"/>
      <c r="GP119" s="25"/>
      <c r="GQ119" s="25"/>
      <c r="GR119" s="25"/>
      <c r="GS119" s="25"/>
      <c r="GT119" s="25"/>
      <c r="GU119" s="25"/>
      <c r="GV119" s="25"/>
      <c r="GW119" s="25"/>
      <c r="GX119" s="25"/>
      <c r="GY119" s="25"/>
      <c r="GZ119" s="25"/>
      <c r="HA119" s="25"/>
      <c r="HB119" s="25"/>
      <c r="HC119" s="25"/>
      <c r="HD119" s="25"/>
      <c r="HE119" s="25"/>
      <c r="HF119" s="25"/>
      <c r="HG119" s="25"/>
      <c r="HH119" s="25"/>
      <c r="HI119" s="25"/>
      <c r="HJ119" s="25"/>
      <c r="HK119" s="25"/>
      <c r="HL119" s="25"/>
      <c r="HM119" s="25"/>
      <c r="HN119" s="25"/>
      <c r="HO119" s="25"/>
      <c r="HP119" s="25"/>
      <c r="HQ119" s="25"/>
      <c r="HR119" s="25"/>
      <c r="HS119" s="25"/>
      <c r="HT119" s="25"/>
      <c r="HU119" s="25"/>
      <c r="HV119" s="25"/>
      <c r="HW119" s="25"/>
      <c r="HX119" s="25"/>
      <c r="HY119" s="25"/>
      <c r="HZ119" s="25"/>
      <c r="IA119" s="25"/>
      <c r="IB119" s="25"/>
      <c r="IC119" s="25"/>
      <c r="ID119" s="25"/>
      <c r="IE119" s="25"/>
      <c r="IF119" s="25"/>
      <c r="IG119" s="25"/>
      <c r="IH119" s="25"/>
      <c r="II119" s="25"/>
      <c r="IJ119" s="25"/>
      <c r="IK119" s="25"/>
      <c r="IL119" s="25"/>
      <c r="IM119" s="25"/>
      <c r="IN119" s="25"/>
      <c r="IO119" s="25"/>
      <c r="IP119" s="25"/>
      <c r="IQ119" s="25"/>
      <c r="IR119" s="25"/>
      <c r="IS119" s="25"/>
      <c r="IT119" s="25"/>
      <c r="IU119" s="25"/>
      <c r="IV119" s="25"/>
      <c r="IW119" s="25"/>
      <c r="IX119" s="25"/>
      <c r="IY119" s="25"/>
      <c r="IZ119" s="25"/>
      <c r="JA119" s="25"/>
      <c r="JB119" s="25"/>
      <c r="JC119" s="25"/>
      <c r="JD119" s="25"/>
      <c r="JE119" s="25"/>
      <c r="JF119" s="25"/>
      <c r="JG119" s="25"/>
      <c r="JH119" s="25"/>
      <c r="JI119" s="25"/>
      <c r="JJ119" s="25"/>
      <c r="JK119" s="25"/>
      <c r="JL119" s="25"/>
      <c r="JM119" s="25"/>
      <c r="JN119" s="25"/>
      <c r="JO119" s="25"/>
      <c r="JP119" s="25"/>
      <c r="JQ119" s="25"/>
      <c r="JR119" s="25"/>
      <c r="JS119" s="25"/>
      <c r="JT119" s="25"/>
      <c r="JU119" s="25"/>
      <c r="JV119" s="25"/>
      <c r="JW119" s="25"/>
      <c r="JX119" s="25"/>
      <c r="JY119" s="25"/>
      <c r="JZ119" s="25"/>
      <c r="KA119" s="25"/>
      <c r="KB119" s="25"/>
      <c r="KC119" s="25"/>
      <c r="KD119" s="25"/>
      <c r="KE119" s="25"/>
      <c r="KF119" s="25"/>
      <c r="KG119" s="25"/>
      <c r="KH119" s="25"/>
      <c r="KI119" s="25"/>
      <c r="KJ119" s="25"/>
      <c r="KK119" s="25"/>
      <c r="KL119" s="25"/>
      <c r="KM119" s="25"/>
      <c r="KN119" s="25"/>
      <c r="KO119" s="25"/>
      <c r="KP119" s="25"/>
      <c r="KQ119" s="25"/>
      <c r="KR119" s="25"/>
      <c r="KS119" s="25"/>
      <c r="KT119" s="25"/>
      <c r="KU119" s="25"/>
      <c r="KV119" s="25"/>
      <c r="KW119" s="25"/>
      <c r="KX119" s="25"/>
      <c r="KY119" s="25"/>
      <c r="KZ119" s="25"/>
      <c r="LA119" s="25"/>
      <c r="LB119" s="25"/>
      <c r="LC119" s="25"/>
      <c r="LD119" s="25"/>
      <c r="LE119" s="25"/>
      <c r="LF119" s="25"/>
      <c r="LG119" s="25"/>
      <c r="LH119" s="25"/>
      <c r="LI119" s="25"/>
      <c r="LJ119" s="25"/>
      <c r="LK119" s="25"/>
      <c r="LL119" s="25"/>
      <c r="LM119" s="25"/>
      <c r="LN119" s="25"/>
      <c r="LO119" s="25"/>
      <c r="LP119" s="25"/>
      <c r="LQ119" s="25"/>
      <c r="LR119" s="25"/>
      <c r="LS119" s="25"/>
      <c r="LT119" s="25"/>
      <c r="LU119" s="25"/>
      <c r="LV119" s="25"/>
      <c r="LW119" s="25"/>
      <c r="LX119" s="25"/>
      <c r="LY119" s="25"/>
      <c r="LZ119" s="25"/>
      <c r="MA119" s="25"/>
      <c r="MB119" s="25"/>
      <c r="MC119" s="25"/>
      <c r="MD119" s="25"/>
      <c r="ME119" s="25"/>
      <c r="MF119" s="25"/>
      <c r="MG119" s="25"/>
      <c r="MH119" s="25"/>
      <c r="MI119" s="25"/>
      <c r="MJ119" s="25"/>
      <c r="MK119" s="25"/>
      <c r="ML119" s="25"/>
      <c r="MM119" s="25"/>
      <c r="MN119" s="25"/>
      <c r="MO119" s="25"/>
      <c r="MP119" s="25"/>
      <c r="MQ119" s="25"/>
      <c r="MR119" s="25"/>
      <c r="MS119" s="25"/>
      <c r="MT119" s="25"/>
      <c r="MU119" s="25"/>
      <c r="MV119" s="25"/>
      <c r="MW119" s="25"/>
      <c r="MX119" s="25"/>
      <c r="MY119" s="25"/>
      <c r="MZ119" s="25"/>
      <c r="NA119" s="25"/>
      <c r="NB119" s="25"/>
      <c r="NC119" s="25"/>
      <c r="ND119" s="25"/>
      <c r="NE119" s="33"/>
      <c r="OG119" s="18">
        <v>1</v>
      </c>
      <c r="OH119" s="18">
        <v>43196</v>
      </c>
      <c r="OI119" s="18">
        <v>43248</v>
      </c>
      <c r="PJ119" s="20" t="s">
        <v>11</v>
      </c>
      <c r="PK119" s="20">
        <v>106</v>
      </c>
    </row>
    <row r="120" spans="1:427" ht="0.75" customHeight="1" x14ac:dyDescent="0.2">
      <c r="A120" s="28"/>
      <c r="B120" s="22"/>
      <c r="C120" s="22"/>
      <c r="D120" s="44"/>
      <c r="E120" s="23"/>
      <c r="F120" s="24" t="s">
        <v>10</v>
      </c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  <c r="HM120" s="25"/>
      <c r="HN120" s="25"/>
      <c r="HO120" s="25"/>
      <c r="HP120" s="25"/>
      <c r="HQ120" s="25"/>
      <c r="HR120" s="25"/>
      <c r="HS120" s="25"/>
      <c r="HT120" s="25"/>
      <c r="HU120" s="25"/>
      <c r="HV120" s="25"/>
      <c r="HW120" s="25"/>
      <c r="HX120" s="25"/>
      <c r="HY120" s="25"/>
      <c r="HZ120" s="25"/>
      <c r="IA120" s="25"/>
      <c r="IB120" s="25"/>
      <c r="IC120" s="25"/>
      <c r="ID120" s="25"/>
      <c r="IE120" s="25"/>
      <c r="IF120" s="25"/>
      <c r="IG120" s="25"/>
      <c r="IH120" s="25"/>
      <c r="II120" s="25"/>
      <c r="IJ120" s="25"/>
      <c r="IK120" s="25"/>
      <c r="IL120" s="25"/>
      <c r="IM120" s="25"/>
      <c r="IN120" s="25"/>
      <c r="IO120" s="25"/>
      <c r="IP120" s="25"/>
      <c r="IQ120" s="25"/>
      <c r="IR120" s="25"/>
      <c r="IS120" s="25"/>
      <c r="IT120" s="25"/>
      <c r="IU120" s="25"/>
      <c r="IV120" s="25"/>
      <c r="IW120" s="25"/>
      <c r="IX120" s="25"/>
      <c r="IY120" s="25"/>
      <c r="IZ120" s="25"/>
      <c r="JA120" s="25"/>
      <c r="JB120" s="25"/>
      <c r="JC120" s="25"/>
      <c r="JD120" s="25"/>
      <c r="JE120" s="25"/>
      <c r="JF120" s="25"/>
      <c r="JG120" s="25"/>
      <c r="JH120" s="25"/>
      <c r="JI120" s="25"/>
      <c r="JJ120" s="25"/>
      <c r="JK120" s="25"/>
      <c r="JL120" s="25"/>
      <c r="JM120" s="25"/>
      <c r="JN120" s="25"/>
      <c r="JO120" s="25"/>
      <c r="JP120" s="25"/>
      <c r="JQ120" s="25"/>
      <c r="JR120" s="25"/>
      <c r="JS120" s="25"/>
      <c r="JT120" s="25"/>
      <c r="JU120" s="25"/>
      <c r="JV120" s="25"/>
      <c r="JW120" s="25"/>
      <c r="JX120" s="25"/>
      <c r="JY120" s="25"/>
      <c r="JZ120" s="25"/>
      <c r="KA120" s="25"/>
      <c r="KB120" s="25"/>
      <c r="KC120" s="25"/>
      <c r="KD120" s="25"/>
      <c r="KE120" s="25"/>
      <c r="KF120" s="25"/>
      <c r="KG120" s="25"/>
      <c r="KH120" s="25"/>
      <c r="KI120" s="25"/>
      <c r="KJ120" s="25"/>
      <c r="KK120" s="25"/>
      <c r="KL120" s="25"/>
      <c r="KM120" s="25"/>
      <c r="KN120" s="25"/>
      <c r="KO120" s="25"/>
      <c r="KP120" s="25"/>
      <c r="KQ120" s="25"/>
      <c r="KR120" s="25"/>
      <c r="KS120" s="25"/>
      <c r="KT120" s="25"/>
      <c r="KU120" s="25"/>
      <c r="KV120" s="25"/>
      <c r="KW120" s="25"/>
      <c r="KX120" s="25"/>
      <c r="KY120" s="25"/>
      <c r="KZ120" s="25"/>
      <c r="LA120" s="25"/>
      <c r="LB120" s="25"/>
      <c r="LC120" s="25"/>
      <c r="LD120" s="25"/>
      <c r="LE120" s="25"/>
      <c r="LF120" s="25"/>
      <c r="LG120" s="25"/>
      <c r="LH120" s="25"/>
      <c r="LI120" s="25"/>
      <c r="LJ120" s="25"/>
      <c r="LK120" s="25"/>
      <c r="LL120" s="25"/>
      <c r="LM120" s="25"/>
      <c r="LN120" s="25"/>
      <c r="LO120" s="25"/>
      <c r="LP120" s="25"/>
      <c r="LQ120" s="25"/>
      <c r="LR120" s="25"/>
      <c r="LS120" s="25"/>
      <c r="LT120" s="25"/>
      <c r="LU120" s="25"/>
      <c r="LV120" s="25"/>
      <c r="LW120" s="25"/>
      <c r="LX120" s="25"/>
      <c r="LY120" s="25"/>
      <c r="LZ120" s="25"/>
      <c r="MA120" s="25"/>
      <c r="MB120" s="25"/>
      <c r="MC120" s="25"/>
      <c r="MD120" s="25"/>
      <c r="ME120" s="25"/>
      <c r="MF120" s="25"/>
      <c r="MG120" s="25"/>
      <c r="MH120" s="25"/>
      <c r="MI120" s="25"/>
      <c r="MJ120" s="25"/>
      <c r="MK120" s="25"/>
      <c r="ML120" s="25"/>
      <c r="MM120" s="25"/>
      <c r="MN120" s="25"/>
      <c r="MO120" s="25"/>
      <c r="MP120" s="25"/>
      <c r="MQ120" s="25"/>
      <c r="MR120" s="25"/>
      <c r="MS120" s="25"/>
      <c r="MT120" s="25"/>
      <c r="MU120" s="25"/>
      <c r="MV120" s="25"/>
      <c r="MW120" s="25"/>
      <c r="MX120" s="25"/>
      <c r="MY120" s="25"/>
      <c r="MZ120" s="25"/>
      <c r="NA120" s="25"/>
      <c r="NB120" s="25"/>
      <c r="NC120" s="25"/>
      <c r="ND120" s="25"/>
      <c r="NE120" s="33"/>
    </row>
    <row r="121" spans="1:427" ht="13.5" customHeight="1" x14ac:dyDescent="0.2">
      <c r="A121" s="28"/>
      <c r="B121" s="22"/>
      <c r="C121" s="26"/>
      <c r="D121" s="44"/>
      <c r="E121" s="23"/>
      <c r="F121" s="24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  <c r="EX121" s="25"/>
      <c r="EY121" s="25"/>
      <c r="EZ121" s="25"/>
      <c r="FA121" s="25"/>
      <c r="FB121" s="25"/>
      <c r="FC121" s="25"/>
      <c r="FD121" s="25"/>
      <c r="FE121" s="25"/>
      <c r="FF121" s="25"/>
      <c r="FG121" s="25"/>
      <c r="FH121" s="25"/>
      <c r="FI121" s="25"/>
      <c r="FJ121" s="25"/>
      <c r="FK121" s="25"/>
      <c r="FL121" s="25"/>
      <c r="FM121" s="25"/>
      <c r="FN121" s="25"/>
      <c r="FO121" s="25"/>
      <c r="FP121" s="25"/>
      <c r="FQ121" s="25"/>
      <c r="FR121" s="25"/>
      <c r="FS121" s="25"/>
      <c r="FT121" s="25"/>
      <c r="FU121" s="25"/>
      <c r="FV121" s="25"/>
      <c r="FW121" s="25"/>
      <c r="FX121" s="25"/>
      <c r="FY121" s="25"/>
      <c r="FZ121" s="25"/>
      <c r="GA121" s="25"/>
      <c r="GB121" s="25"/>
      <c r="GC121" s="25"/>
      <c r="GD121" s="25"/>
      <c r="GE121" s="25"/>
      <c r="GF121" s="25"/>
      <c r="GG121" s="25"/>
      <c r="GH121" s="25"/>
      <c r="GI121" s="25"/>
      <c r="GJ121" s="25"/>
      <c r="GK121" s="25"/>
      <c r="GL121" s="25"/>
      <c r="GM121" s="25"/>
      <c r="GN121" s="25"/>
      <c r="GO121" s="25"/>
      <c r="GP121" s="25"/>
      <c r="GQ121" s="25"/>
      <c r="GR121" s="25"/>
      <c r="GS121" s="25"/>
      <c r="GT121" s="25"/>
      <c r="GU121" s="25"/>
      <c r="GV121" s="25"/>
      <c r="GW121" s="25"/>
      <c r="GX121" s="25"/>
      <c r="GY121" s="25"/>
      <c r="GZ121" s="25"/>
      <c r="HA121" s="25"/>
      <c r="HB121" s="25"/>
      <c r="HC121" s="25"/>
      <c r="HD121" s="25"/>
      <c r="HE121" s="25"/>
      <c r="HF121" s="25"/>
      <c r="HG121" s="25"/>
      <c r="HH121" s="25"/>
      <c r="HI121" s="25"/>
      <c r="HJ121" s="25"/>
      <c r="HK121" s="25"/>
      <c r="HL121" s="25"/>
      <c r="HM121" s="25"/>
      <c r="HN121" s="25"/>
      <c r="HO121" s="25"/>
      <c r="HP121" s="25"/>
      <c r="HQ121" s="25"/>
      <c r="HR121" s="25"/>
      <c r="HS121" s="25"/>
      <c r="HT121" s="25"/>
      <c r="HU121" s="25"/>
      <c r="HV121" s="25"/>
      <c r="HW121" s="25"/>
      <c r="HX121" s="25"/>
      <c r="HY121" s="25"/>
      <c r="HZ121" s="25"/>
      <c r="IA121" s="25"/>
      <c r="IB121" s="25"/>
      <c r="IC121" s="25"/>
      <c r="ID121" s="25"/>
      <c r="IE121" s="25"/>
      <c r="IF121" s="25"/>
      <c r="IG121" s="25"/>
      <c r="IH121" s="25"/>
      <c r="II121" s="25"/>
      <c r="IJ121" s="25"/>
      <c r="IK121" s="25"/>
      <c r="IL121" s="25"/>
      <c r="IM121" s="25"/>
      <c r="IN121" s="25"/>
      <c r="IO121" s="25"/>
      <c r="IP121" s="25"/>
      <c r="IQ121" s="25"/>
      <c r="IR121" s="25"/>
      <c r="IS121" s="25"/>
      <c r="IT121" s="25"/>
      <c r="IU121" s="25"/>
      <c r="IV121" s="25"/>
      <c r="IW121" s="25"/>
      <c r="IX121" s="25"/>
      <c r="IY121" s="25"/>
      <c r="IZ121" s="25"/>
      <c r="JA121" s="25"/>
      <c r="JB121" s="25"/>
      <c r="JC121" s="25"/>
      <c r="JD121" s="25"/>
      <c r="JE121" s="25"/>
      <c r="JF121" s="25"/>
      <c r="JG121" s="25"/>
      <c r="JH121" s="25"/>
      <c r="JI121" s="25"/>
      <c r="JJ121" s="25"/>
      <c r="JK121" s="25"/>
      <c r="JL121" s="25"/>
      <c r="JM121" s="25"/>
      <c r="JN121" s="25"/>
      <c r="JO121" s="25"/>
      <c r="JP121" s="25"/>
      <c r="JQ121" s="25"/>
      <c r="JR121" s="25"/>
      <c r="JS121" s="25"/>
      <c r="JT121" s="25"/>
      <c r="JU121" s="25"/>
      <c r="JV121" s="25"/>
      <c r="JW121" s="25"/>
      <c r="JX121" s="25"/>
      <c r="JY121" s="25"/>
      <c r="JZ121" s="25"/>
      <c r="KA121" s="25"/>
      <c r="KB121" s="25"/>
      <c r="KC121" s="25"/>
      <c r="KD121" s="25"/>
      <c r="KE121" s="25"/>
      <c r="KF121" s="25"/>
      <c r="KG121" s="25"/>
      <c r="KH121" s="25"/>
      <c r="KI121" s="25"/>
      <c r="KJ121" s="25"/>
      <c r="KK121" s="25"/>
      <c r="KL121" s="25"/>
      <c r="KM121" s="25"/>
      <c r="KN121" s="25"/>
      <c r="KO121" s="25"/>
      <c r="KP121" s="25"/>
      <c r="KQ121" s="25"/>
      <c r="KR121" s="25"/>
      <c r="KS121" s="25"/>
      <c r="KT121" s="25"/>
      <c r="KU121" s="25"/>
      <c r="KV121" s="25"/>
      <c r="KW121" s="25"/>
      <c r="KX121" s="25"/>
      <c r="KY121" s="25"/>
      <c r="KZ121" s="25"/>
      <c r="LA121" s="25"/>
      <c r="LB121" s="25"/>
      <c r="LC121" s="25"/>
      <c r="LD121" s="25"/>
      <c r="LE121" s="25"/>
      <c r="LF121" s="25"/>
      <c r="LG121" s="25"/>
      <c r="LH121" s="25"/>
      <c r="LI121" s="25"/>
      <c r="LJ121" s="25"/>
      <c r="LK121" s="25"/>
      <c r="LL121" s="25"/>
      <c r="LM121" s="25"/>
      <c r="LN121" s="25"/>
      <c r="LO121" s="25"/>
      <c r="LP121" s="25"/>
      <c r="LQ121" s="25"/>
      <c r="LR121" s="25"/>
      <c r="LS121" s="25"/>
      <c r="LT121" s="25"/>
      <c r="LU121" s="25"/>
      <c r="LV121" s="25"/>
      <c r="LW121" s="25"/>
      <c r="LX121" s="25"/>
      <c r="LY121" s="25"/>
      <c r="LZ121" s="25"/>
      <c r="MA121" s="25"/>
      <c r="MB121" s="25"/>
      <c r="MC121" s="25"/>
      <c r="MD121" s="25"/>
      <c r="ME121" s="25"/>
      <c r="MF121" s="25"/>
      <c r="MG121" s="25"/>
      <c r="MH121" s="25"/>
      <c r="MI121" s="25"/>
      <c r="MJ121" s="25"/>
      <c r="MK121" s="25"/>
      <c r="ML121" s="25"/>
      <c r="MM121" s="25"/>
      <c r="MN121" s="25"/>
      <c r="MO121" s="25"/>
      <c r="MP121" s="25"/>
      <c r="MQ121" s="25"/>
      <c r="MR121" s="25"/>
      <c r="MS121" s="25"/>
      <c r="MT121" s="25"/>
      <c r="MU121" s="25"/>
      <c r="MV121" s="25"/>
      <c r="MW121" s="25"/>
      <c r="MX121" s="25"/>
      <c r="MY121" s="25"/>
      <c r="MZ121" s="25"/>
      <c r="NA121" s="25"/>
      <c r="NB121" s="25"/>
      <c r="NC121" s="25"/>
      <c r="ND121" s="25"/>
      <c r="NE121" s="33"/>
      <c r="OG121" s="18">
        <v>1</v>
      </c>
      <c r="OH121" s="18">
        <v>43336</v>
      </c>
      <c r="OI121" s="18">
        <v>43388</v>
      </c>
      <c r="PJ121" s="20" t="s">
        <v>11</v>
      </c>
      <c r="PK121" s="20">
        <v>106</v>
      </c>
    </row>
    <row r="122" spans="1:427" ht="0.75" customHeight="1" x14ac:dyDescent="0.2">
      <c r="A122" s="28"/>
      <c r="B122" s="22"/>
      <c r="C122" s="22"/>
      <c r="D122" s="44"/>
      <c r="E122" s="23"/>
      <c r="F122" s="24" t="s">
        <v>10</v>
      </c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  <c r="EX122" s="25"/>
      <c r="EY122" s="25"/>
      <c r="EZ122" s="25"/>
      <c r="FA122" s="25"/>
      <c r="FB122" s="25"/>
      <c r="FC122" s="25"/>
      <c r="FD122" s="25"/>
      <c r="FE122" s="25"/>
      <c r="FF122" s="25"/>
      <c r="FG122" s="25"/>
      <c r="FH122" s="25"/>
      <c r="FI122" s="25"/>
      <c r="FJ122" s="25"/>
      <c r="FK122" s="25"/>
      <c r="FL122" s="25"/>
      <c r="FM122" s="25"/>
      <c r="FN122" s="25"/>
      <c r="FO122" s="25"/>
      <c r="FP122" s="25"/>
      <c r="FQ122" s="25"/>
      <c r="FR122" s="25"/>
      <c r="FS122" s="25"/>
      <c r="FT122" s="25"/>
      <c r="FU122" s="25"/>
      <c r="FV122" s="25"/>
      <c r="FW122" s="25"/>
      <c r="FX122" s="25"/>
      <c r="FY122" s="25"/>
      <c r="FZ122" s="25"/>
      <c r="GA122" s="25"/>
      <c r="GB122" s="25"/>
      <c r="GC122" s="25"/>
      <c r="GD122" s="25"/>
      <c r="GE122" s="25"/>
      <c r="GF122" s="25"/>
      <c r="GG122" s="25"/>
      <c r="GH122" s="25"/>
      <c r="GI122" s="25"/>
      <c r="GJ122" s="25"/>
      <c r="GK122" s="25"/>
      <c r="GL122" s="25"/>
      <c r="GM122" s="25"/>
      <c r="GN122" s="25"/>
      <c r="GO122" s="25"/>
      <c r="GP122" s="25"/>
      <c r="GQ122" s="25"/>
      <c r="GR122" s="25"/>
      <c r="GS122" s="25"/>
      <c r="GT122" s="25"/>
      <c r="GU122" s="25"/>
      <c r="GV122" s="25"/>
      <c r="GW122" s="25"/>
      <c r="GX122" s="25"/>
      <c r="GY122" s="25"/>
      <c r="GZ122" s="25"/>
      <c r="HA122" s="25"/>
      <c r="HB122" s="25"/>
      <c r="HC122" s="25"/>
      <c r="HD122" s="25"/>
      <c r="HE122" s="25"/>
      <c r="HF122" s="25"/>
      <c r="HG122" s="25"/>
      <c r="HH122" s="25"/>
      <c r="HI122" s="25"/>
      <c r="HJ122" s="25"/>
      <c r="HK122" s="25"/>
      <c r="HL122" s="25"/>
      <c r="HM122" s="25"/>
      <c r="HN122" s="25"/>
      <c r="HO122" s="25"/>
      <c r="HP122" s="25"/>
      <c r="HQ122" s="25"/>
      <c r="HR122" s="25"/>
      <c r="HS122" s="25"/>
      <c r="HT122" s="25"/>
      <c r="HU122" s="25"/>
      <c r="HV122" s="25"/>
      <c r="HW122" s="25"/>
      <c r="HX122" s="25"/>
      <c r="HY122" s="25"/>
      <c r="HZ122" s="25"/>
      <c r="IA122" s="25"/>
      <c r="IB122" s="25"/>
      <c r="IC122" s="25"/>
      <c r="ID122" s="25"/>
      <c r="IE122" s="25"/>
      <c r="IF122" s="25"/>
      <c r="IG122" s="25"/>
      <c r="IH122" s="25"/>
      <c r="II122" s="25"/>
      <c r="IJ122" s="25"/>
      <c r="IK122" s="25"/>
      <c r="IL122" s="25"/>
      <c r="IM122" s="25"/>
      <c r="IN122" s="25"/>
      <c r="IO122" s="25"/>
      <c r="IP122" s="25"/>
      <c r="IQ122" s="25"/>
      <c r="IR122" s="25"/>
      <c r="IS122" s="25"/>
      <c r="IT122" s="25"/>
      <c r="IU122" s="25"/>
      <c r="IV122" s="25"/>
      <c r="IW122" s="25"/>
      <c r="IX122" s="25"/>
      <c r="IY122" s="25"/>
      <c r="IZ122" s="25"/>
      <c r="JA122" s="25"/>
      <c r="JB122" s="25"/>
      <c r="JC122" s="25"/>
      <c r="JD122" s="25"/>
      <c r="JE122" s="25"/>
      <c r="JF122" s="25"/>
      <c r="JG122" s="25"/>
      <c r="JH122" s="25"/>
      <c r="JI122" s="25"/>
      <c r="JJ122" s="25"/>
      <c r="JK122" s="25"/>
      <c r="JL122" s="25"/>
      <c r="JM122" s="25"/>
      <c r="JN122" s="25"/>
      <c r="JO122" s="25"/>
      <c r="JP122" s="25"/>
      <c r="JQ122" s="25"/>
      <c r="JR122" s="25"/>
      <c r="JS122" s="25"/>
      <c r="JT122" s="25"/>
      <c r="JU122" s="25"/>
      <c r="JV122" s="25"/>
      <c r="JW122" s="25"/>
      <c r="JX122" s="25"/>
      <c r="JY122" s="25"/>
      <c r="JZ122" s="25"/>
      <c r="KA122" s="25"/>
      <c r="KB122" s="25"/>
      <c r="KC122" s="25"/>
      <c r="KD122" s="25"/>
      <c r="KE122" s="25"/>
      <c r="KF122" s="25"/>
      <c r="KG122" s="25"/>
      <c r="KH122" s="25"/>
      <c r="KI122" s="25"/>
      <c r="KJ122" s="25"/>
      <c r="KK122" s="25"/>
      <c r="KL122" s="25"/>
      <c r="KM122" s="25"/>
      <c r="KN122" s="25"/>
      <c r="KO122" s="25"/>
      <c r="KP122" s="25"/>
      <c r="KQ122" s="25"/>
      <c r="KR122" s="25"/>
      <c r="KS122" s="25"/>
      <c r="KT122" s="25"/>
      <c r="KU122" s="25"/>
      <c r="KV122" s="25"/>
      <c r="KW122" s="25"/>
      <c r="KX122" s="25"/>
      <c r="KY122" s="25"/>
      <c r="KZ122" s="25"/>
      <c r="LA122" s="25"/>
      <c r="LB122" s="25"/>
      <c r="LC122" s="25"/>
      <c r="LD122" s="25"/>
      <c r="LE122" s="25"/>
      <c r="LF122" s="25"/>
      <c r="LG122" s="25"/>
      <c r="LH122" s="25"/>
      <c r="LI122" s="25"/>
      <c r="LJ122" s="25"/>
      <c r="LK122" s="25"/>
      <c r="LL122" s="25"/>
      <c r="LM122" s="25"/>
      <c r="LN122" s="25"/>
      <c r="LO122" s="25"/>
      <c r="LP122" s="25"/>
      <c r="LQ122" s="25"/>
      <c r="LR122" s="25"/>
      <c r="LS122" s="25"/>
      <c r="LT122" s="25"/>
      <c r="LU122" s="25"/>
      <c r="LV122" s="25"/>
      <c r="LW122" s="25"/>
      <c r="LX122" s="25"/>
      <c r="LY122" s="25"/>
      <c r="LZ122" s="25"/>
      <c r="MA122" s="25"/>
      <c r="MB122" s="25"/>
      <c r="MC122" s="25"/>
      <c r="MD122" s="25"/>
      <c r="ME122" s="25"/>
      <c r="MF122" s="25"/>
      <c r="MG122" s="25"/>
      <c r="MH122" s="25"/>
      <c r="MI122" s="25"/>
      <c r="MJ122" s="25"/>
      <c r="MK122" s="25"/>
      <c r="ML122" s="25"/>
      <c r="MM122" s="25"/>
      <c r="MN122" s="25"/>
      <c r="MO122" s="25"/>
      <c r="MP122" s="25"/>
      <c r="MQ122" s="25"/>
      <c r="MR122" s="25"/>
      <c r="MS122" s="25"/>
      <c r="MT122" s="25"/>
      <c r="MU122" s="25"/>
      <c r="MV122" s="25"/>
      <c r="MW122" s="25"/>
      <c r="MX122" s="25"/>
      <c r="MY122" s="25"/>
      <c r="MZ122" s="25"/>
      <c r="NA122" s="25"/>
      <c r="NB122" s="25"/>
      <c r="NC122" s="25"/>
      <c r="ND122" s="25"/>
      <c r="NE122" s="33"/>
    </row>
    <row r="123" spans="1:427" ht="13.5" customHeight="1" x14ac:dyDescent="0.2">
      <c r="A123" s="28"/>
      <c r="B123" s="22"/>
      <c r="C123" s="26"/>
      <c r="D123" s="44"/>
      <c r="E123" s="23"/>
      <c r="F123" s="24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  <c r="EX123" s="25"/>
      <c r="EY123" s="25"/>
      <c r="EZ123" s="25"/>
      <c r="FA123" s="25"/>
      <c r="FB123" s="25"/>
      <c r="FC123" s="25"/>
      <c r="FD123" s="25"/>
      <c r="FE123" s="25"/>
      <c r="FF123" s="25"/>
      <c r="FG123" s="25"/>
      <c r="FH123" s="25"/>
      <c r="FI123" s="25"/>
      <c r="FJ123" s="25"/>
      <c r="FK123" s="25"/>
      <c r="FL123" s="25"/>
      <c r="FM123" s="25"/>
      <c r="FN123" s="25"/>
      <c r="FO123" s="25"/>
      <c r="FP123" s="25"/>
      <c r="FQ123" s="25"/>
      <c r="FR123" s="25"/>
      <c r="FS123" s="25"/>
      <c r="FT123" s="25"/>
      <c r="FU123" s="25"/>
      <c r="FV123" s="25"/>
      <c r="FW123" s="25"/>
      <c r="FX123" s="25"/>
      <c r="FY123" s="25"/>
      <c r="FZ123" s="25"/>
      <c r="GA123" s="25"/>
      <c r="GB123" s="25"/>
      <c r="GC123" s="25"/>
      <c r="GD123" s="25"/>
      <c r="GE123" s="25"/>
      <c r="GF123" s="25"/>
      <c r="GG123" s="25"/>
      <c r="GH123" s="25"/>
      <c r="GI123" s="25"/>
      <c r="GJ123" s="25"/>
      <c r="GK123" s="25"/>
      <c r="GL123" s="25"/>
      <c r="GM123" s="25"/>
      <c r="GN123" s="25"/>
      <c r="GO123" s="25"/>
      <c r="GP123" s="25"/>
      <c r="GQ123" s="25"/>
      <c r="GR123" s="25"/>
      <c r="GS123" s="25"/>
      <c r="GT123" s="25"/>
      <c r="GU123" s="25"/>
      <c r="GV123" s="25"/>
      <c r="GW123" s="25"/>
      <c r="GX123" s="25"/>
      <c r="GY123" s="25"/>
      <c r="GZ123" s="25"/>
      <c r="HA123" s="25"/>
      <c r="HB123" s="25"/>
      <c r="HC123" s="25"/>
      <c r="HD123" s="25"/>
      <c r="HE123" s="25"/>
      <c r="HF123" s="25"/>
      <c r="HG123" s="25"/>
      <c r="HH123" s="25"/>
      <c r="HI123" s="25"/>
      <c r="HJ123" s="25"/>
      <c r="HK123" s="25"/>
      <c r="HL123" s="25"/>
      <c r="HM123" s="25"/>
      <c r="HN123" s="25"/>
      <c r="HO123" s="25"/>
      <c r="HP123" s="25"/>
      <c r="HQ123" s="25"/>
      <c r="HR123" s="25"/>
      <c r="HS123" s="25"/>
      <c r="HT123" s="25"/>
      <c r="HU123" s="25"/>
      <c r="HV123" s="25"/>
      <c r="HW123" s="25"/>
      <c r="HX123" s="25"/>
      <c r="HY123" s="25"/>
      <c r="HZ123" s="25"/>
      <c r="IA123" s="25"/>
      <c r="IB123" s="25"/>
      <c r="IC123" s="25"/>
      <c r="ID123" s="25"/>
      <c r="IE123" s="25"/>
      <c r="IF123" s="25"/>
      <c r="IG123" s="25"/>
      <c r="IH123" s="25"/>
      <c r="II123" s="25"/>
      <c r="IJ123" s="25"/>
      <c r="IK123" s="25"/>
      <c r="IL123" s="25"/>
      <c r="IM123" s="25"/>
      <c r="IN123" s="25"/>
      <c r="IO123" s="25"/>
      <c r="IP123" s="25"/>
      <c r="IQ123" s="25"/>
      <c r="IR123" s="25"/>
      <c r="IS123" s="25"/>
      <c r="IT123" s="25"/>
      <c r="IU123" s="25"/>
      <c r="IV123" s="25"/>
      <c r="IW123" s="25"/>
      <c r="IX123" s="25"/>
      <c r="IY123" s="25"/>
      <c r="IZ123" s="25"/>
      <c r="JA123" s="25"/>
      <c r="JB123" s="25"/>
      <c r="JC123" s="25"/>
      <c r="JD123" s="25"/>
      <c r="JE123" s="25"/>
      <c r="JF123" s="25"/>
      <c r="JG123" s="25"/>
      <c r="JH123" s="25"/>
      <c r="JI123" s="25"/>
      <c r="JJ123" s="25"/>
      <c r="JK123" s="25"/>
      <c r="JL123" s="25"/>
      <c r="JM123" s="25"/>
      <c r="JN123" s="25"/>
      <c r="JO123" s="25"/>
      <c r="JP123" s="25"/>
      <c r="JQ123" s="25"/>
      <c r="JR123" s="25"/>
      <c r="JS123" s="25"/>
      <c r="JT123" s="25"/>
      <c r="JU123" s="25"/>
      <c r="JV123" s="25"/>
      <c r="JW123" s="25"/>
      <c r="JX123" s="25"/>
      <c r="JY123" s="25"/>
      <c r="JZ123" s="25"/>
      <c r="KA123" s="25"/>
      <c r="KB123" s="25"/>
      <c r="KC123" s="25"/>
      <c r="KD123" s="25"/>
      <c r="KE123" s="25"/>
      <c r="KF123" s="25"/>
      <c r="KG123" s="25"/>
      <c r="KH123" s="25"/>
      <c r="KI123" s="25"/>
      <c r="KJ123" s="25"/>
      <c r="KK123" s="25"/>
      <c r="KL123" s="25"/>
      <c r="KM123" s="25"/>
      <c r="KN123" s="25"/>
      <c r="KO123" s="25"/>
      <c r="KP123" s="25"/>
      <c r="KQ123" s="25"/>
      <c r="KR123" s="25"/>
      <c r="KS123" s="25"/>
      <c r="KT123" s="25"/>
      <c r="KU123" s="25"/>
      <c r="KV123" s="25"/>
      <c r="KW123" s="25"/>
      <c r="KX123" s="25"/>
      <c r="KY123" s="25"/>
      <c r="KZ123" s="25"/>
      <c r="LA123" s="25"/>
      <c r="LB123" s="25"/>
      <c r="LC123" s="25"/>
      <c r="LD123" s="25"/>
      <c r="LE123" s="25"/>
      <c r="LF123" s="25"/>
      <c r="LG123" s="25"/>
      <c r="LH123" s="25"/>
      <c r="LI123" s="25"/>
      <c r="LJ123" s="25"/>
      <c r="LK123" s="25"/>
      <c r="LL123" s="25"/>
      <c r="LM123" s="25"/>
      <c r="LN123" s="25"/>
      <c r="LO123" s="25"/>
      <c r="LP123" s="25"/>
      <c r="LQ123" s="25"/>
      <c r="LR123" s="25"/>
      <c r="LS123" s="25"/>
      <c r="LT123" s="25"/>
      <c r="LU123" s="25"/>
      <c r="LV123" s="25"/>
      <c r="LW123" s="25"/>
      <c r="LX123" s="25"/>
      <c r="LY123" s="25"/>
      <c r="LZ123" s="25"/>
      <c r="MA123" s="25"/>
      <c r="MB123" s="25"/>
      <c r="MC123" s="25"/>
      <c r="MD123" s="25"/>
      <c r="ME123" s="25"/>
      <c r="MF123" s="25"/>
      <c r="MG123" s="25"/>
      <c r="MH123" s="25"/>
      <c r="MI123" s="25"/>
      <c r="MJ123" s="25"/>
      <c r="MK123" s="25"/>
      <c r="ML123" s="25"/>
      <c r="MM123" s="25"/>
      <c r="MN123" s="25"/>
      <c r="MO123" s="25"/>
      <c r="MP123" s="25"/>
      <c r="MQ123" s="25"/>
      <c r="MR123" s="25"/>
      <c r="MS123" s="25"/>
      <c r="MT123" s="25"/>
      <c r="MU123" s="25"/>
      <c r="MV123" s="25"/>
      <c r="MW123" s="25"/>
      <c r="MX123" s="25"/>
      <c r="MY123" s="25"/>
      <c r="MZ123" s="25"/>
      <c r="NA123" s="25"/>
      <c r="NB123" s="25"/>
      <c r="NC123" s="25"/>
      <c r="ND123" s="25"/>
      <c r="NE123" s="33"/>
      <c r="OG123" s="18">
        <v>1</v>
      </c>
      <c r="OH123" s="18">
        <v>43196</v>
      </c>
      <c r="OI123" s="18">
        <v>43248</v>
      </c>
      <c r="PJ123" s="20" t="s">
        <v>11</v>
      </c>
      <c r="PK123" s="20">
        <v>106</v>
      </c>
    </row>
    <row r="124" spans="1:427" ht="0.75" customHeight="1" x14ac:dyDescent="0.2">
      <c r="A124" s="28"/>
      <c r="B124" s="22"/>
      <c r="C124" s="22"/>
      <c r="D124" s="44"/>
      <c r="E124" s="23"/>
      <c r="F124" s="24" t="s">
        <v>10</v>
      </c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  <c r="EX124" s="25"/>
      <c r="EY124" s="25"/>
      <c r="EZ124" s="25"/>
      <c r="FA124" s="25"/>
      <c r="FB124" s="25"/>
      <c r="FC124" s="25"/>
      <c r="FD124" s="25"/>
      <c r="FE124" s="25"/>
      <c r="FF124" s="25"/>
      <c r="FG124" s="25"/>
      <c r="FH124" s="25"/>
      <c r="FI124" s="25"/>
      <c r="FJ124" s="25"/>
      <c r="FK124" s="25"/>
      <c r="FL124" s="25"/>
      <c r="FM124" s="25"/>
      <c r="FN124" s="25"/>
      <c r="FO124" s="25"/>
      <c r="FP124" s="25"/>
      <c r="FQ124" s="25"/>
      <c r="FR124" s="25"/>
      <c r="FS124" s="25"/>
      <c r="FT124" s="25"/>
      <c r="FU124" s="25"/>
      <c r="FV124" s="25"/>
      <c r="FW124" s="25"/>
      <c r="FX124" s="25"/>
      <c r="FY124" s="25"/>
      <c r="FZ124" s="25"/>
      <c r="GA124" s="25"/>
      <c r="GB124" s="25"/>
      <c r="GC124" s="25"/>
      <c r="GD124" s="25"/>
      <c r="GE124" s="25"/>
      <c r="GF124" s="25"/>
      <c r="GG124" s="25"/>
      <c r="GH124" s="25"/>
      <c r="GI124" s="25"/>
      <c r="GJ124" s="25"/>
      <c r="GK124" s="25"/>
      <c r="GL124" s="25"/>
      <c r="GM124" s="25"/>
      <c r="GN124" s="25"/>
      <c r="GO124" s="25"/>
      <c r="GP124" s="25"/>
      <c r="GQ124" s="25"/>
      <c r="GR124" s="25"/>
      <c r="GS124" s="25"/>
      <c r="GT124" s="25"/>
      <c r="GU124" s="25"/>
      <c r="GV124" s="25"/>
      <c r="GW124" s="25"/>
      <c r="GX124" s="25"/>
      <c r="GY124" s="25"/>
      <c r="GZ124" s="25"/>
      <c r="HA124" s="25"/>
      <c r="HB124" s="25"/>
      <c r="HC124" s="25"/>
      <c r="HD124" s="25"/>
      <c r="HE124" s="25"/>
      <c r="HF124" s="25"/>
      <c r="HG124" s="25"/>
      <c r="HH124" s="25"/>
      <c r="HI124" s="25"/>
      <c r="HJ124" s="25"/>
      <c r="HK124" s="25"/>
      <c r="HL124" s="25"/>
      <c r="HM124" s="25"/>
      <c r="HN124" s="25"/>
      <c r="HO124" s="25"/>
      <c r="HP124" s="25"/>
      <c r="HQ124" s="25"/>
      <c r="HR124" s="25"/>
      <c r="HS124" s="25"/>
      <c r="HT124" s="25"/>
      <c r="HU124" s="25"/>
      <c r="HV124" s="25"/>
      <c r="HW124" s="25"/>
      <c r="HX124" s="25"/>
      <c r="HY124" s="25"/>
      <c r="HZ124" s="25"/>
      <c r="IA124" s="25"/>
      <c r="IB124" s="25"/>
      <c r="IC124" s="25"/>
      <c r="ID124" s="25"/>
      <c r="IE124" s="25"/>
      <c r="IF124" s="25"/>
      <c r="IG124" s="25"/>
      <c r="IH124" s="25"/>
      <c r="II124" s="25"/>
      <c r="IJ124" s="25"/>
      <c r="IK124" s="25"/>
      <c r="IL124" s="25"/>
      <c r="IM124" s="25"/>
      <c r="IN124" s="25"/>
      <c r="IO124" s="25"/>
      <c r="IP124" s="25"/>
      <c r="IQ124" s="25"/>
      <c r="IR124" s="25"/>
      <c r="IS124" s="25"/>
      <c r="IT124" s="25"/>
      <c r="IU124" s="25"/>
      <c r="IV124" s="25"/>
      <c r="IW124" s="25"/>
      <c r="IX124" s="25"/>
      <c r="IY124" s="25"/>
      <c r="IZ124" s="25"/>
      <c r="JA124" s="25"/>
      <c r="JB124" s="25"/>
      <c r="JC124" s="25"/>
      <c r="JD124" s="25"/>
      <c r="JE124" s="25"/>
      <c r="JF124" s="25"/>
      <c r="JG124" s="25"/>
      <c r="JH124" s="25"/>
      <c r="JI124" s="25"/>
      <c r="JJ124" s="25"/>
      <c r="JK124" s="25"/>
      <c r="JL124" s="25"/>
      <c r="JM124" s="25"/>
      <c r="JN124" s="25"/>
      <c r="JO124" s="25"/>
      <c r="JP124" s="25"/>
      <c r="JQ124" s="25"/>
      <c r="JR124" s="25"/>
      <c r="JS124" s="25"/>
      <c r="JT124" s="25"/>
      <c r="JU124" s="25"/>
      <c r="JV124" s="25"/>
      <c r="JW124" s="25"/>
      <c r="JX124" s="25"/>
      <c r="JY124" s="25"/>
      <c r="JZ124" s="25"/>
      <c r="KA124" s="25"/>
      <c r="KB124" s="25"/>
      <c r="KC124" s="25"/>
      <c r="KD124" s="25"/>
      <c r="KE124" s="25"/>
      <c r="KF124" s="25"/>
      <c r="KG124" s="25"/>
      <c r="KH124" s="25"/>
      <c r="KI124" s="25"/>
      <c r="KJ124" s="25"/>
      <c r="KK124" s="25"/>
      <c r="KL124" s="25"/>
      <c r="KM124" s="25"/>
      <c r="KN124" s="25"/>
      <c r="KO124" s="25"/>
      <c r="KP124" s="25"/>
      <c r="KQ124" s="25"/>
      <c r="KR124" s="25"/>
      <c r="KS124" s="25"/>
      <c r="KT124" s="25"/>
      <c r="KU124" s="25"/>
      <c r="KV124" s="25"/>
      <c r="KW124" s="25"/>
      <c r="KX124" s="25"/>
      <c r="KY124" s="25"/>
      <c r="KZ124" s="25"/>
      <c r="LA124" s="25"/>
      <c r="LB124" s="25"/>
      <c r="LC124" s="25"/>
      <c r="LD124" s="25"/>
      <c r="LE124" s="25"/>
      <c r="LF124" s="25"/>
      <c r="LG124" s="25"/>
      <c r="LH124" s="25"/>
      <c r="LI124" s="25"/>
      <c r="LJ124" s="25"/>
      <c r="LK124" s="25"/>
      <c r="LL124" s="25"/>
      <c r="LM124" s="25"/>
      <c r="LN124" s="25"/>
      <c r="LO124" s="25"/>
      <c r="LP124" s="25"/>
      <c r="LQ124" s="25"/>
      <c r="LR124" s="25"/>
      <c r="LS124" s="25"/>
      <c r="LT124" s="25"/>
      <c r="LU124" s="25"/>
      <c r="LV124" s="25"/>
      <c r="LW124" s="25"/>
      <c r="LX124" s="25"/>
      <c r="LY124" s="25"/>
      <c r="LZ124" s="25"/>
      <c r="MA124" s="25"/>
      <c r="MB124" s="25"/>
      <c r="MC124" s="25"/>
      <c r="MD124" s="25"/>
      <c r="ME124" s="25"/>
      <c r="MF124" s="25"/>
      <c r="MG124" s="25"/>
      <c r="MH124" s="25"/>
      <c r="MI124" s="25"/>
      <c r="MJ124" s="25"/>
      <c r="MK124" s="25"/>
      <c r="ML124" s="25"/>
      <c r="MM124" s="25"/>
      <c r="MN124" s="25"/>
      <c r="MO124" s="25"/>
      <c r="MP124" s="25"/>
      <c r="MQ124" s="25"/>
      <c r="MR124" s="25"/>
      <c r="MS124" s="25"/>
      <c r="MT124" s="25"/>
      <c r="MU124" s="25"/>
      <c r="MV124" s="25"/>
      <c r="MW124" s="25"/>
      <c r="MX124" s="25"/>
      <c r="MY124" s="25"/>
      <c r="MZ124" s="25"/>
      <c r="NA124" s="25"/>
      <c r="NB124" s="25"/>
      <c r="NC124" s="25"/>
      <c r="ND124" s="25"/>
      <c r="NE124" s="33"/>
    </row>
    <row r="125" spans="1:427" ht="13.5" customHeight="1" x14ac:dyDescent="0.2">
      <c r="A125" s="28"/>
      <c r="B125" s="22"/>
      <c r="C125" s="26"/>
      <c r="D125" s="44"/>
      <c r="E125" s="23"/>
      <c r="F125" s="24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  <c r="EX125" s="25"/>
      <c r="EY125" s="25"/>
      <c r="EZ125" s="25"/>
      <c r="FA125" s="25"/>
      <c r="FB125" s="25"/>
      <c r="FC125" s="25"/>
      <c r="FD125" s="25"/>
      <c r="FE125" s="25"/>
      <c r="FF125" s="25"/>
      <c r="FG125" s="25"/>
      <c r="FH125" s="25"/>
      <c r="FI125" s="25"/>
      <c r="FJ125" s="25"/>
      <c r="FK125" s="25"/>
      <c r="FL125" s="25"/>
      <c r="FM125" s="25"/>
      <c r="FN125" s="25"/>
      <c r="FO125" s="25"/>
      <c r="FP125" s="25"/>
      <c r="FQ125" s="25"/>
      <c r="FR125" s="25"/>
      <c r="FS125" s="25"/>
      <c r="FT125" s="25"/>
      <c r="FU125" s="25"/>
      <c r="FV125" s="25"/>
      <c r="FW125" s="25"/>
      <c r="FX125" s="25"/>
      <c r="FY125" s="25"/>
      <c r="FZ125" s="25"/>
      <c r="GA125" s="25"/>
      <c r="GB125" s="25"/>
      <c r="GC125" s="25"/>
      <c r="GD125" s="25"/>
      <c r="GE125" s="25"/>
      <c r="GF125" s="25"/>
      <c r="GG125" s="25"/>
      <c r="GH125" s="25"/>
      <c r="GI125" s="25"/>
      <c r="GJ125" s="25"/>
      <c r="GK125" s="25"/>
      <c r="GL125" s="25"/>
      <c r="GM125" s="25"/>
      <c r="GN125" s="25"/>
      <c r="GO125" s="25"/>
      <c r="GP125" s="25"/>
      <c r="GQ125" s="25"/>
      <c r="GR125" s="25"/>
      <c r="GS125" s="25"/>
      <c r="GT125" s="25"/>
      <c r="GU125" s="25"/>
      <c r="GV125" s="25"/>
      <c r="GW125" s="25"/>
      <c r="GX125" s="25"/>
      <c r="GY125" s="25"/>
      <c r="GZ125" s="25"/>
      <c r="HA125" s="25"/>
      <c r="HB125" s="25"/>
      <c r="HC125" s="25"/>
      <c r="HD125" s="25"/>
      <c r="HE125" s="25"/>
      <c r="HF125" s="25"/>
      <c r="HG125" s="25"/>
      <c r="HH125" s="25"/>
      <c r="HI125" s="25"/>
      <c r="HJ125" s="25"/>
      <c r="HK125" s="25"/>
      <c r="HL125" s="25"/>
      <c r="HM125" s="25"/>
      <c r="HN125" s="25"/>
      <c r="HO125" s="25"/>
      <c r="HP125" s="25"/>
      <c r="HQ125" s="25"/>
      <c r="HR125" s="25"/>
      <c r="HS125" s="25"/>
      <c r="HT125" s="25"/>
      <c r="HU125" s="25"/>
      <c r="HV125" s="25"/>
      <c r="HW125" s="25"/>
      <c r="HX125" s="25"/>
      <c r="HY125" s="25"/>
      <c r="HZ125" s="25"/>
      <c r="IA125" s="25"/>
      <c r="IB125" s="25"/>
      <c r="IC125" s="25"/>
      <c r="ID125" s="25"/>
      <c r="IE125" s="25"/>
      <c r="IF125" s="25"/>
      <c r="IG125" s="25"/>
      <c r="IH125" s="25"/>
      <c r="II125" s="25"/>
      <c r="IJ125" s="25"/>
      <c r="IK125" s="25"/>
      <c r="IL125" s="25"/>
      <c r="IM125" s="25"/>
      <c r="IN125" s="25"/>
      <c r="IO125" s="25"/>
      <c r="IP125" s="25"/>
      <c r="IQ125" s="25"/>
      <c r="IR125" s="25"/>
      <c r="IS125" s="25"/>
      <c r="IT125" s="25"/>
      <c r="IU125" s="25"/>
      <c r="IV125" s="25"/>
      <c r="IW125" s="25"/>
      <c r="IX125" s="25"/>
      <c r="IY125" s="25"/>
      <c r="IZ125" s="25"/>
      <c r="JA125" s="25"/>
      <c r="JB125" s="25"/>
      <c r="JC125" s="25"/>
      <c r="JD125" s="25"/>
      <c r="JE125" s="25"/>
      <c r="JF125" s="25"/>
      <c r="JG125" s="25"/>
      <c r="JH125" s="25"/>
      <c r="JI125" s="25"/>
      <c r="JJ125" s="25"/>
      <c r="JK125" s="25"/>
      <c r="JL125" s="25"/>
      <c r="JM125" s="25"/>
      <c r="JN125" s="25"/>
      <c r="JO125" s="25"/>
      <c r="JP125" s="25"/>
      <c r="JQ125" s="25"/>
      <c r="JR125" s="25"/>
      <c r="JS125" s="25"/>
      <c r="JT125" s="25"/>
      <c r="JU125" s="25"/>
      <c r="JV125" s="25"/>
      <c r="JW125" s="25"/>
      <c r="JX125" s="25"/>
      <c r="JY125" s="25"/>
      <c r="JZ125" s="25"/>
      <c r="KA125" s="25"/>
      <c r="KB125" s="25"/>
      <c r="KC125" s="25"/>
      <c r="KD125" s="25"/>
      <c r="KE125" s="25"/>
      <c r="KF125" s="25"/>
      <c r="KG125" s="25"/>
      <c r="KH125" s="25"/>
      <c r="KI125" s="25"/>
      <c r="KJ125" s="25"/>
      <c r="KK125" s="25"/>
      <c r="KL125" s="25"/>
      <c r="KM125" s="25"/>
      <c r="KN125" s="25"/>
      <c r="KO125" s="25"/>
      <c r="KP125" s="25"/>
      <c r="KQ125" s="25"/>
      <c r="KR125" s="25"/>
      <c r="KS125" s="25"/>
      <c r="KT125" s="25"/>
      <c r="KU125" s="25"/>
      <c r="KV125" s="25"/>
      <c r="KW125" s="25"/>
      <c r="KX125" s="25"/>
      <c r="KY125" s="25"/>
      <c r="KZ125" s="25"/>
      <c r="LA125" s="25"/>
      <c r="LB125" s="25"/>
      <c r="LC125" s="25"/>
      <c r="LD125" s="25"/>
      <c r="LE125" s="25"/>
      <c r="LF125" s="25"/>
      <c r="LG125" s="25"/>
      <c r="LH125" s="25"/>
      <c r="LI125" s="25"/>
      <c r="LJ125" s="25"/>
      <c r="LK125" s="25"/>
      <c r="LL125" s="25"/>
      <c r="LM125" s="25"/>
      <c r="LN125" s="25"/>
      <c r="LO125" s="25"/>
      <c r="LP125" s="25"/>
      <c r="LQ125" s="25"/>
      <c r="LR125" s="25"/>
      <c r="LS125" s="25"/>
      <c r="LT125" s="25"/>
      <c r="LU125" s="25"/>
      <c r="LV125" s="25"/>
      <c r="LW125" s="25"/>
      <c r="LX125" s="25"/>
      <c r="LY125" s="25"/>
      <c r="LZ125" s="25"/>
      <c r="MA125" s="25"/>
      <c r="MB125" s="25"/>
      <c r="MC125" s="25"/>
      <c r="MD125" s="25"/>
      <c r="ME125" s="25"/>
      <c r="MF125" s="25"/>
      <c r="MG125" s="25"/>
      <c r="MH125" s="25"/>
      <c r="MI125" s="25"/>
      <c r="MJ125" s="25"/>
      <c r="MK125" s="25"/>
      <c r="ML125" s="25"/>
      <c r="MM125" s="25"/>
      <c r="MN125" s="25"/>
      <c r="MO125" s="25"/>
      <c r="MP125" s="25"/>
      <c r="MQ125" s="25"/>
      <c r="MR125" s="25"/>
      <c r="MS125" s="25"/>
      <c r="MT125" s="25"/>
      <c r="MU125" s="25"/>
      <c r="MV125" s="25"/>
      <c r="MW125" s="25"/>
      <c r="MX125" s="25"/>
      <c r="MY125" s="25"/>
      <c r="MZ125" s="25"/>
      <c r="NA125" s="25"/>
      <c r="NB125" s="25"/>
      <c r="NC125" s="25"/>
      <c r="ND125" s="25"/>
      <c r="NE125" s="33"/>
      <c r="OG125" s="18">
        <v>1</v>
      </c>
      <c r="OH125" s="18">
        <v>43336</v>
      </c>
      <c r="OI125" s="18">
        <v>43388</v>
      </c>
      <c r="PJ125" s="20" t="s">
        <v>11</v>
      </c>
      <c r="PK125" s="20">
        <v>106</v>
      </c>
    </row>
    <row r="126" spans="1:427" ht="13.5" customHeight="1" x14ac:dyDescent="0.2">
      <c r="A126" s="28"/>
      <c r="B126" s="22"/>
      <c r="C126" s="26"/>
      <c r="D126" s="44"/>
      <c r="E126" s="23"/>
      <c r="F126" s="24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  <c r="EX126" s="25"/>
      <c r="EY126" s="25"/>
      <c r="EZ126" s="25"/>
      <c r="FA126" s="25"/>
      <c r="FB126" s="25"/>
      <c r="FC126" s="25"/>
      <c r="FD126" s="25"/>
      <c r="FE126" s="25"/>
      <c r="FF126" s="25"/>
      <c r="FG126" s="25"/>
      <c r="FH126" s="25"/>
      <c r="FI126" s="25"/>
      <c r="FJ126" s="25"/>
      <c r="FK126" s="25"/>
      <c r="FL126" s="25"/>
      <c r="FM126" s="25"/>
      <c r="FN126" s="25"/>
      <c r="FO126" s="25"/>
      <c r="FP126" s="25"/>
      <c r="FQ126" s="25"/>
      <c r="FR126" s="25"/>
      <c r="FS126" s="25"/>
      <c r="FT126" s="25"/>
      <c r="FU126" s="25"/>
      <c r="FV126" s="25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25"/>
      <c r="GO126" s="25"/>
      <c r="GP126" s="25"/>
      <c r="GQ126" s="25"/>
      <c r="GR126" s="25"/>
      <c r="GS126" s="25"/>
      <c r="GT126" s="25"/>
      <c r="GU126" s="25"/>
      <c r="GV126" s="25"/>
      <c r="GW126" s="25"/>
      <c r="GX126" s="25"/>
      <c r="GY126" s="25"/>
      <c r="GZ126" s="25"/>
      <c r="HA126" s="25"/>
      <c r="HB126" s="25"/>
      <c r="HC126" s="25"/>
      <c r="HD126" s="25"/>
      <c r="HE126" s="25"/>
      <c r="HF126" s="25"/>
      <c r="HG126" s="25"/>
      <c r="HH126" s="25"/>
      <c r="HI126" s="25"/>
      <c r="HJ126" s="25"/>
      <c r="HK126" s="25"/>
      <c r="HL126" s="25"/>
      <c r="HM126" s="25"/>
      <c r="HN126" s="25"/>
      <c r="HO126" s="25"/>
      <c r="HP126" s="25"/>
      <c r="HQ126" s="25"/>
      <c r="HR126" s="25"/>
      <c r="HS126" s="25"/>
      <c r="HT126" s="25"/>
      <c r="HU126" s="25"/>
      <c r="HV126" s="25"/>
      <c r="HW126" s="25"/>
      <c r="HX126" s="25"/>
      <c r="HY126" s="25"/>
      <c r="HZ126" s="25"/>
      <c r="IA126" s="25"/>
      <c r="IB126" s="25"/>
      <c r="IC126" s="25"/>
      <c r="ID126" s="25"/>
      <c r="IE126" s="25"/>
      <c r="IF126" s="25"/>
      <c r="IG126" s="25"/>
      <c r="IH126" s="25"/>
      <c r="II126" s="25"/>
      <c r="IJ126" s="25"/>
      <c r="IK126" s="25"/>
      <c r="IL126" s="25"/>
      <c r="IM126" s="25"/>
      <c r="IN126" s="25"/>
      <c r="IO126" s="25"/>
      <c r="IP126" s="25"/>
      <c r="IQ126" s="25"/>
      <c r="IR126" s="25"/>
      <c r="IS126" s="25"/>
      <c r="IT126" s="25"/>
      <c r="IU126" s="25"/>
      <c r="IV126" s="25"/>
      <c r="IW126" s="25"/>
      <c r="IX126" s="25"/>
      <c r="IY126" s="25"/>
      <c r="IZ126" s="25"/>
      <c r="JA126" s="25"/>
      <c r="JB126" s="25"/>
      <c r="JC126" s="25"/>
      <c r="JD126" s="25"/>
      <c r="JE126" s="25"/>
      <c r="JF126" s="25"/>
      <c r="JG126" s="25"/>
      <c r="JH126" s="25"/>
      <c r="JI126" s="25"/>
      <c r="JJ126" s="25"/>
      <c r="JK126" s="25"/>
      <c r="JL126" s="25"/>
      <c r="JM126" s="25"/>
      <c r="JN126" s="25"/>
      <c r="JO126" s="25"/>
      <c r="JP126" s="25"/>
      <c r="JQ126" s="25"/>
      <c r="JR126" s="25"/>
      <c r="JS126" s="25"/>
      <c r="JT126" s="25"/>
      <c r="JU126" s="25"/>
      <c r="JV126" s="25"/>
      <c r="JW126" s="25"/>
      <c r="JX126" s="25"/>
      <c r="JY126" s="25"/>
      <c r="JZ126" s="25"/>
      <c r="KA126" s="25"/>
      <c r="KB126" s="25"/>
      <c r="KC126" s="25"/>
      <c r="KD126" s="25"/>
      <c r="KE126" s="25"/>
      <c r="KF126" s="25"/>
      <c r="KG126" s="25"/>
      <c r="KH126" s="25"/>
      <c r="KI126" s="25"/>
      <c r="KJ126" s="25"/>
      <c r="KK126" s="25"/>
      <c r="KL126" s="25"/>
      <c r="KM126" s="25"/>
      <c r="KN126" s="25"/>
      <c r="KO126" s="25"/>
      <c r="KP126" s="25"/>
      <c r="KQ126" s="25"/>
      <c r="KR126" s="25"/>
      <c r="KS126" s="25"/>
      <c r="KT126" s="25"/>
      <c r="KU126" s="25"/>
      <c r="KV126" s="25"/>
      <c r="KW126" s="25"/>
      <c r="KX126" s="25"/>
      <c r="KY126" s="25"/>
      <c r="KZ126" s="25"/>
      <c r="LA126" s="25"/>
      <c r="LB126" s="25"/>
      <c r="LC126" s="25"/>
      <c r="LD126" s="25"/>
      <c r="LE126" s="25"/>
      <c r="LF126" s="25"/>
      <c r="LG126" s="25"/>
      <c r="LH126" s="25"/>
      <c r="LI126" s="25"/>
      <c r="LJ126" s="25"/>
      <c r="LK126" s="25"/>
      <c r="LL126" s="25"/>
      <c r="LM126" s="25"/>
      <c r="LN126" s="25"/>
      <c r="LO126" s="25"/>
      <c r="LP126" s="25"/>
      <c r="LQ126" s="25"/>
      <c r="LR126" s="25"/>
      <c r="LS126" s="25"/>
      <c r="LT126" s="25"/>
      <c r="LU126" s="25"/>
      <c r="LV126" s="25"/>
      <c r="LW126" s="25"/>
      <c r="LX126" s="25"/>
      <c r="LY126" s="25"/>
      <c r="LZ126" s="25"/>
      <c r="MA126" s="25"/>
      <c r="MB126" s="25"/>
      <c r="MC126" s="25"/>
      <c r="MD126" s="25"/>
      <c r="ME126" s="25"/>
      <c r="MF126" s="25"/>
      <c r="MG126" s="25"/>
      <c r="MH126" s="25"/>
      <c r="MI126" s="25"/>
      <c r="MJ126" s="25"/>
      <c r="MK126" s="25"/>
      <c r="ML126" s="25"/>
      <c r="MM126" s="25"/>
      <c r="MN126" s="25"/>
      <c r="MO126" s="25"/>
      <c r="MP126" s="25"/>
      <c r="MQ126" s="25"/>
      <c r="MR126" s="25"/>
      <c r="MS126" s="25"/>
      <c r="MT126" s="25"/>
      <c r="MU126" s="25"/>
      <c r="MV126" s="25"/>
      <c r="MW126" s="25"/>
      <c r="MX126" s="25"/>
      <c r="MY126" s="25"/>
      <c r="MZ126" s="25"/>
      <c r="NA126" s="25"/>
      <c r="NB126" s="25"/>
      <c r="NC126" s="25"/>
      <c r="ND126" s="25"/>
      <c r="NE126" s="33"/>
      <c r="OG126" s="18">
        <v>1</v>
      </c>
      <c r="OH126" s="18">
        <v>43196</v>
      </c>
      <c r="OI126" s="18">
        <v>43248</v>
      </c>
      <c r="PJ126" s="20" t="s">
        <v>11</v>
      </c>
      <c r="PK126" s="20">
        <v>106</v>
      </c>
    </row>
    <row r="127" spans="1:427" ht="0.75" customHeight="1" x14ac:dyDescent="0.2">
      <c r="A127" s="28"/>
      <c r="B127" s="22"/>
      <c r="C127" s="22"/>
      <c r="D127" s="44"/>
      <c r="E127" s="23"/>
      <c r="F127" s="24" t="s">
        <v>10</v>
      </c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  <c r="EX127" s="25"/>
      <c r="EY127" s="25"/>
      <c r="EZ127" s="25"/>
      <c r="FA127" s="25"/>
      <c r="FB127" s="25"/>
      <c r="FC127" s="25"/>
      <c r="FD127" s="25"/>
      <c r="FE127" s="25"/>
      <c r="FF127" s="25"/>
      <c r="FG127" s="25"/>
      <c r="FH127" s="25"/>
      <c r="FI127" s="25"/>
      <c r="FJ127" s="25"/>
      <c r="FK127" s="25"/>
      <c r="FL127" s="25"/>
      <c r="FM127" s="25"/>
      <c r="FN127" s="25"/>
      <c r="FO127" s="25"/>
      <c r="FP127" s="25"/>
      <c r="FQ127" s="25"/>
      <c r="FR127" s="25"/>
      <c r="FS127" s="25"/>
      <c r="FT127" s="25"/>
      <c r="FU127" s="25"/>
      <c r="FV127" s="25"/>
      <c r="FW127" s="25"/>
      <c r="FX127" s="25"/>
      <c r="FY127" s="25"/>
      <c r="FZ127" s="25"/>
      <c r="GA127" s="25"/>
      <c r="GB127" s="25"/>
      <c r="GC127" s="25"/>
      <c r="GD127" s="25"/>
      <c r="GE127" s="25"/>
      <c r="GF127" s="25"/>
      <c r="GG127" s="25"/>
      <c r="GH127" s="25"/>
      <c r="GI127" s="25"/>
      <c r="GJ127" s="25"/>
      <c r="GK127" s="25"/>
      <c r="GL127" s="25"/>
      <c r="GM127" s="25"/>
      <c r="GN127" s="25"/>
      <c r="GO127" s="25"/>
      <c r="GP127" s="25"/>
      <c r="GQ127" s="25"/>
      <c r="GR127" s="25"/>
      <c r="GS127" s="25"/>
      <c r="GT127" s="25"/>
      <c r="GU127" s="25"/>
      <c r="GV127" s="25"/>
      <c r="GW127" s="25"/>
      <c r="GX127" s="25"/>
      <c r="GY127" s="25"/>
      <c r="GZ127" s="25"/>
      <c r="HA127" s="25"/>
      <c r="HB127" s="25"/>
      <c r="HC127" s="25"/>
      <c r="HD127" s="25"/>
      <c r="HE127" s="25"/>
      <c r="HF127" s="25"/>
      <c r="HG127" s="25"/>
      <c r="HH127" s="25"/>
      <c r="HI127" s="25"/>
      <c r="HJ127" s="25"/>
      <c r="HK127" s="25"/>
      <c r="HL127" s="25"/>
      <c r="HM127" s="25"/>
      <c r="HN127" s="25"/>
      <c r="HO127" s="25"/>
      <c r="HP127" s="25"/>
      <c r="HQ127" s="25"/>
      <c r="HR127" s="25"/>
      <c r="HS127" s="25"/>
      <c r="HT127" s="25"/>
      <c r="HU127" s="25"/>
      <c r="HV127" s="25"/>
      <c r="HW127" s="25"/>
      <c r="HX127" s="25"/>
      <c r="HY127" s="25"/>
      <c r="HZ127" s="25"/>
      <c r="IA127" s="25"/>
      <c r="IB127" s="25"/>
      <c r="IC127" s="25"/>
      <c r="ID127" s="25"/>
      <c r="IE127" s="25"/>
      <c r="IF127" s="25"/>
      <c r="IG127" s="25"/>
      <c r="IH127" s="25"/>
      <c r="II127" s="25"/>
      <c r="IJ127" s="25"/>
      <c r="IK127" s="25"/>
      <c r="IL127" s="25"/>
      <c r="IM127" s="25"/>
      <c r="IN127" s="25"/>
      <c r="IO127" s="25"/>
      <c r="IP127" s="25"/>
      <c r="IQ127" s="25"/>
      <c r="IR127" s="25"/>
      <c r="IS127" s="25"/>
      <c r="IT127" s="25"/>
      <c r="IU127" s="25"/>
      <c r="IV127" s="25"/>
      <c r="IW127" s="25"/>
      <c r="IX127" s="25"/>
      <c r="IY127" s="25"/>
      <c r="IZ127" s="25"/>
      <c r="JA127" s="25"/>
      <c r="JB127" s="25"/>
      <c r="JC127" s="25"/>
      <c r="JD127" s="25"/>
      <c r="JE127" s="25"/>
      <c r="JF127" s="25"/>
      <c r="JG127" s="25"/>
      <c r="JH127" s="25"/>
      <c r="JI127" s="25"/>
      <c r="JJ127" s="25"/>
      <c r="JK127" s="25"/>
      <c r="JL127" s="25"/>
      <c r="JM127" s="25"/>
      <c r="JN127" s="25"/>
      <c r="JO127" s="25"/>
      <c r="JP127" s="25"/>
      <c r="JQ127" s="25"/>
      <c r="JR127" s="25"/>
      <c r="JS127" s="25"/>
      <c r="JT127" s="25"/>
      <c r="JU127" s="25"/>
      <c r="JV127" s="25"/>
      <c r="JW127" s="25"/>
      <c r="JX127" s="25"/>
      <c r="JY127" s="25"/>
      <c r="JZ127" s="25"/>
      <c r="KA127" s="25"/>
      <c r="KB127" s="25"/>
      <c r="KC127" s="25"/>
      <c r="KD127" s="25"/>
      <c r="KE127" s="25"/>
      <c r="KF127" s="25"/>
      <c r="KG127" s="25"/>
      <c r="KH127" s="25"/>
      <c r="KI127" s="25"/>
      <c r="KJ127" s="25"/>
      <c r="KK127" s="25"/>
      <c r="KL127" s="25"/>
      <c r="KM127" s="25"/>
      <c r="KN127" s="25"/>
      <c r="KO127" s="25"/>
      <c r="KP127" s="25"/>
      <c r="KQ127" s="25"/>
      <c r="KR127" s="25"/>
      <c r="KS127" s="25"/>
      <c r="KT127" s="25"/>
      <c r="KU127" s="25"/>
      <c r="KV127" s="25"/>
      <c r="KW127" s="25"/>
      <c r="KX127" s="25"/>
      <c r="KY127" s="25"/>
      <c r="KZ127" s="25"/>
      <c r="LA127" s="25"/>
      <c r="LB127" s="25"/>
      <c r="LC127" s="25"/>
      <c r="LD127" s="25"/>
      <c r="LE127" s="25"/>
      <c r="LF127" s="25"/>
      <c r="LG127" s="25"/>
      <c r="LH127" s="25"/>
      <c r="LI127" s="25"/>
      <c r="LJ127" s="25"/>
      <c r="LK127" s="25"/>
      <c r="LL127" s="25"/>
      <c r="LM127" s="25"/>
      <c r="LN127" s="25"/>
      <c r="LO127" s="25"/>
      <c r="LP127" s="25"/>
      <c r="LQ127" s="25"/>
      <c r="LR127" s="25"/>
      <c r="LS127" s="25"/>
      <c r="LT127" s="25"/>
      <c r="LU127" s="25"/>
      <c r="LV127" s="25"/>
      <c r="LW127" s="25"/>
      <c r="LX127" s="25"/>
      <c r="LY127" s="25"/>
      <c r="LZ127" s="25"/>
      <c r="MA127" s="25"/>
      <c r="MB127" s="25"/>
      <c r="MC127" s="25"/>
      <c r="MD127" s="25"/>
      <c r="ME127" s="25"/>
      <c r="MF127" s="25"/>
      <c r="MG127" s="25"/>
      <c r="MH127" s="25"/>
      <c r="MI127" s="25"/>
      <c r="MJ127" s="25"/>
      <c r="MK127" s="25"/>
      <c r="ML127" s="25"/>
      <c r="MM127" s="25"/>
      <c r="MN127" s="25"/>
      <c r="MO127" s="25"/>
      <c r="MP127" s="25"/>
      <c r="MQ127" s="25"/>
      <c r="MR127" s="25"/>
      <c r="MS127" s="25"/>
      <c r="MT127" s="25"/>
      <c r="MU127" s="25"/>
      <c r="MV127" s="25"/>
      <c r="MW127" s="25"/>
      <c r="MX127" s="25"/>
      <c r="MY127" s="25"/>
      <c r="MZ127" s="25"/>
      <c r="NA127" s="25"/>
      <c r="NB127" s="25"/>
      <c r="NC127" s="25"/>
      <c r="ND127" s="25"/>
      <c r="NE127" s="33"/>
    </row>
    <row r="128" spans="1:427" ht="13.5" customHeight="1" x14ac:dyDescent="0.2">
      <c r="A128" s="28"/>
      <c r="B128" s="22"/>
      <c r="C128" s="26"/>
      <c r="D128" s="44"/>
      <c r="E128" s="23"/>
      <c r="F128" s="24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  <c r="EX128" s="25"/>
      <c r="EY128" s="25"/>
      <c r="EZ128" s="25"/>
      <c r="FA128" s="25"/>
      <c r="FB128" s="25"/>
      <c r="FC128" s="25"/>
      <c r="FD128" s="25"/>
      <c r="FE128" s="25"/>
      <c r="FF128" s="25"/>
      <c r="FG128" s="25"/>
      <c r="FH128" s="25"/>
      <c r="FI128" s="25"/>
      <c r="FJ128" s="25"/>
      <c r="FK128" s="25"/>
      <c r="FL128" s="25"/>
      <c r="FM128" s="25"/>
      <c r="FN128" s="25"/>
      <c r="FO128" s="25"/>
      <c r="FP128" s="25"/>
      <c r="FQ128" s="25"/>
      <c r="FR128" s="25"/>
      <c r="FS128" s="25"/>
      <c r="FT128" s="25"/>
      <c r="FU128" s="25"/>
      <c r="FV128" s="25"/>
      <c r="FW128" s="25"/>
      <c r="FX128" s="25"/>
      <c r="FY128" s="25"/>
      <c r="FZ128" s="25"/>
      <c r="GA128" s="25"/>
      <c r="GB128" s="25"/>
      <c r="GC128" s="25"/>
      <c r="GD128" s="25"/>
      <c r="GE128" s="25"/>
      <c r="GF128" s="25"/>
      <c r="GG128" s="25"/>
      <c r="GH128" s="25"/>
      <c r="GI128" s="25"/>
      <c r="GJ128" s="25"/>
      <c r="GK128" s="25"/>
      <c r="GL128" s="25"/>
      <c r="GM128" s="25"/>
      <c r="GN128" s="25"/>
      <c r="GO128" s="25"/>
      <c r="GP128" s="25"/>
      <c r="GQ128" s="25"/>
      <c r="GR128" s="25"/>
      <c r="GS128" s="25"/>
      <c r="GT128" s="25"/>
      <c r="GU128" s="25"/>
      <c r="GV128" s="25"/>
      <c r="GW128" s="25"/>
      <c r="GX128" s="25"/>
      <c r="GY128" s="25"/>
      <c r="GZ128" s="25"/>
      <c r="HA128" s="25"/>
      <c r="HB128" s="25"/>
      <c r="HC128" s="25"/>
      <c r="HD128" s="25"/>
      <c r="HE128" s="25"/>
      <c r="HF128" s="25"/>
      <c r="HG128" s="25"/>
      <c r="HH128" s="25"/>
      <c r="HI128" s="25"/>
      <c r="HJ128" s="25"/>
      <c r="HK128" s="25"/>
      <c r="HL128" s="25"/>
      <c r="HM128" s="25"/>
      <c r="HN128" s="25"/>
      <c r="HO128" s="25"/>
      <c r="HP128" s="25"/>
      <c r="HQ128" s="25"/>
      <c r="HR128" s="25"/>
      <c r="HS128" s="25"/>
      <c r="HT128" s="25"/>
      <c r="HU128" s="25"/>
      <c r="HV128" s="25"/>
      <c r="HW128" s="25"/>
      <c r="HX128" s="25"/>
      <c r="HY128" s="25"/>
      <c r="HZ128" s="25"/>
      <c r="IA128" s="25"/>
      <c r="IB128" s="25"/>
      <c r="IC128" s="25"/>
      <c r="ID128" s="25"/>
      <c r="IE128" s="25"/>
      <c r="IF128" s="25"/>
      <c r="IG128" s="25"/>
      <c r="IH128" s="25"/>
      <c r="II128" s="25"/>
      <c r="IJ128" s="25"/>
      <c r="IK128" s="25"/>
      <c r="IL128" s="25"/>
      <c r="IM128" s="25"/>
      <c r="IN128" s="25"/>
      <c r="IO128" s="25"/>
      <c r="IP128" s="25"/>
      <c r="IQ128" s="25"/>
      <c r="IR128" s="25"/>
      <c r="IS128" s="25"/>
      <c r="IT128" s="25"/>
      <c r="IU128" s="25"/>
      <c r="IV128" s="25"/>
      <c r="IW128" s="25"/>
      <c r="IX128" s="25"/>
      <c r="IY128" s="25"/>
      <c r="IZ128" s="25"/>
      <c r="JA128" s="25"/>
      <c r="JB128" s="25"/>
      <c r="JC128" s="25"/>
      <c r="JD128" s="25"/>
      <c r="JE128" s="25"/>
      <c r="JF128" s="25"/>
      <c r="JG128" s="25"/>
      <c r="JH128" s="25"/>
      <c r="JI128" s="25"/>
      <c r="JJ128" s="25"/>
      <c r="JK128" s="25"/>
      <c r="JL128" s="25"/>
      <c r="JM128" s="25"/>
      <c r="JN128" s="25"/>
      <c r="JO128" s="25"/>
      <c r="JP128" s="25"/>
      <c r="JQ128" s="25"/>
      <c r="JR128" s="25"/>
      <c r="JS128" s="25"/>
      <c r="JT128" s="25"/>
      <c r="JU128" s="25"/>
      <c r="JV128" s="25"/>
      <c r="JW128" s="25"/>
      <c r="JX128" s="25"/>
      <c r="JY128" s="25"/>
      <c r="JZ128" s="25"/>
      <c r="KA128" s="25"/>
      <c r="KB128" s="25"/>
      <c r="KC128" s="25"/>
      <c r="KD128" s="25"/>
      <c r="KE128" s="25"/>
      <c r="KF128" s="25"/>
      <c r="KG128" s="25"/>
      <c r="KH128" s="25"/>
      <c r="KI128" s="25"/>
      <c r="KJ128" s="25"/>
      <c r="KK128" s="25"/>
      <c r="KL128" s="25"/>
      <c r="KM128" s="25"/>
      <c r="KN128" s="25"/>
      <c r="KO128" s="25"/>
      <c r="KP128" s="25"/>
      <c r="KQ128" s="25"/>
      <c r="KR128" s="25"/>
      <c r="KS128" s="25"/>
      <c r="KT128" s="25"/>
      <c r="KU128" s="25"/>
      <c r="KV128" s="25"/>
      <c r="KW128" s="25"/>
      <c r="KX128" s="25"/>
      <c r="KY128" s="25"/>
      <c r="KZ128" s="25"/>
      <c r="LA128" s="25"/>
      <c r="LB128" s="25"/>
      <c r="LC128" s="25"/>
      <c r="LD128" s="25"/>
      <c r="LE128" s="25"/>
      <c r="LF128" s="25"/>
      <c r="LG128" s="25"/>
      <c r="LH128" s="25"/>
      <c r="LI128" s="25"/>
      <c r="LJ128" s="25"/>
      <c r="LK128" s="25"/>
      <c r="LL128" s="25"/>
      <c r="LM128" s="25"/>
      <c r="LN128" s="25"/>
      <c r="LO128" s="25"/>
      <c r="LP128" s="25"/>
      <c r="LQ128" s="25"/>
      <c r="LR128" s="25"/>
      <c r="LS128" s="25"/>
      <c r="LT128" s="25"/>
      <c r="LU128" s="25"/>
      <c r="LV128" s="25"/>
      <c r="LW128" s="25"/>
      <c r="LX128" s="25"/>
      <c r="LY128" s="25"/>
      <c r="LZ128" s="25"/>
      <c r="MA128" s="25"/>
      <c r="MB128" s="25"/>
      <c r="MC128" s="25"/>
      <c r="MD128" s="25"/>
      <c r="ME128" s="25"/>
      <c r="MF128" s="25"/>
      <c r="MG128" s="25"/>
      <c r="MH128" s="25"/>
      <c r="MI128" s="25"/>
      <c r="MJ128" s="25"/>
      <c r="MK128" s="25"/>
      <c r="ML128" s="25"/>
      <c r="MM128" s="25"/>
      <c r="MN128" s="25"/>
      <c r="MO128" s="25"/>
      <c r="MP128" s="25"/>
      <c r="MQ128" s="25"/>
      <c r="MR128" s="25"/>
      <c r="MS128" s="25"/>
      <c r="MT128" s="25"/>
      <c r="MU128" s="25"/>
      <c r="MV128" s="25"/>
      <c r="MW128" s="25"/>
      <c r="MX128" s="25"/>
      <c r="MY128" s="25"/>
      <c r="MZ128" s="25"/>
      <c r="NA128" s="25"/>
      <c r="NB128" s="25"/>
      <c r="NC128" s="25"/>
      <c r="ND128" s="25"/>
      <c r="NE128" s="33"/>
      <c r="OG128" s="18">
        <v>1</v>
      </c>
      <c r="OH128" s="18">
        <v>43336</v>
      </c>
      <c r="OI128" s="18">
        <v>43388</v>
      </c>
      <c r="PJ128" s="20" t="s">
        <v>11</v>
      </c>
      <c r="PK128" s="20">
        <v>106</v>
      </c>
    </row>
    <row r="129" spans="1:427" ht="13.5" customHeight="1" x14ac:dyDescent="0.2">
      <c r="A129" s="28"/>
      <c r="B129" s="22"/>
      <c r="C129" s="26"/>
      <c r="D129" s="44"/>
      <c r="E129" s="23"/>
      <c r="F129" s="24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  <c r="EX129" s="25"/>
      <c r="EY129" s="25"/>
      <c r="EZ129" s="25"/>
      <c r="FA129" s="25"/>
      <c r="FB129" s="25"/>
      <c r="FC129" s="25"/>
      <c r="FD129" s="25"/>
      <c r="FE129" s="25"/>
      <c r="FF129" s="25"/>
      <c r="FG129" s="25"/>
      <c r="FH129" s="25"/>
      <c r="FI129" s="25"/>
      <c r="FJ129" s="25"/>
      <c r="FK129" s="25"/>
      <c r="FL129" s="25"/>
      <c r="FM129" s="25"/>
      <c r="FN129" s="25"/>
      <c r="FO129" s="25"/>
      <c r="FP129" s="25"/>
      <c r="FQ129" s="25"/>
      <c r="FR129" s="25"/>
      <c r="FS129" s="25"/>
      <c r="FT129" s="25"/>
      <c r="FU129" s="25"/>
      <c r="FV129" s="25"/>
      <c r="FW129" s="25"/>
      <c r="FX129" s="25"/>
      <c r="FY129" s="25"/>
      <c r="FZ129" s="25"/>
      <c r="GA129" s="25"/>
      <c r="GB129" s="25"/>
      <c r="GC129" s="25"/>
      <c r="GD129" s="25"/>
      <c r="GE129" s="25"/>
      <c r="GF129" s="25"/>
      <c r="GG129" s="25"/>
      <c r="GH129" s="25"/>
      <c r="GI129" s="25"/>
      <c r="GJ129" s="25"/>
      <c r="GK129" s="25"/>
      <c r="GL129" s="25"/>
      <c r="GM129" s="25"/>
      <c r="GN129" s="25"/>
      <c r="GO129" s="25"/>
      <c r="GP129" s="25"/>
      <c r="GQ129" s="25"/>
      <c r="GR129" s="25"/>
      <c r="GS129" s="25"/>
      <c r="GT129" s="25"/>
      <c r="GU129" s="25"/>
      <c r="GV129" s="25"/>
      <c r="GW129" s="25"/>
      <c r="GX129" s="25"/>
      <c r="GY129" s="25"/>
      <c r="GZ129" s="25"/>
      <c r="HA129" s="25"/>
      <c r="HB129" s="25"/>
      <c r="HC129" s="25"/>
      <c r="HD129" s="25"/>
      <c r="HE129" s="25"/>
      <c r="HF129" s="25"/>
      <c r="HG129" s="25"/>
      <c r="HH129" s="25"/>
      <c r="HI129" s="25"/>
      <c r="HJ129" s="25"/>
      <c r="HK129" s="25"/>
      <c r="HL129" s="25"/>
      <c r="HM129" s="25"/>
      <c r="HN129" s="25"/>
      <c r="HO129" s="25"/>
      <c r="HP129" s="25"/>
      <c r="HQ129" s="25"/>
      <c r="HR129" s="25"/>
      <c r="HS129" s="25"/>
      <c r="HT129" s="25"/>
      <c r="HU129" s="25"/>
      <c r="HV129" s="25"/>
      <c r="HW129" s="25"/>
      <c r="HX129" s="25"/>
      <c r="HY129" s="25"/>
      <c r="HZ129" s="25"/>
      <c r="IA129" s="25"/>
      <c r="IB129" s="25"/>
      <c r="IC129" s="25"/>
      <c r="ID129" s="25"/>
      <c r="IE129" s="25"/>
      <c r="IF129" s="25"/>
      <c r="IG129" s="25"/>
      <c r="IH129" s="25"/>
      <c r="II129" s="25"/>
      <c r="IJ129" s="25"/>
      <c r="IK129" s="25"/>
      <c r="IL129" s="25"/>
      <c r="IM129" s="25"/>
      <c r="IN129" s="25"/>
      <c r="IO129" s="25"/>
      <c r="IP129" s="25"/>
      <c r="IQ129" s="25"/>
      <c r="IR129" s="25"/>
      <c r="IS129" s="25"/>
      <c r="IT129" s="25"/>
      <c r="IU129" s="25"/>
      <c r="IV129" s="25"/>
      <c r="IW129" s="25"/>
      <c r="IX129" s="25"/>
      <c r="IY129" s="25"/>
      <c r="IZ129" s="25"/>
      <c r="JA129" s="25"/>
      <c r="JB129" s="25"/>
      <c r="JC129" s="25"/>
      <c r="JD129" s="25"/>
      <c r="JE129" s="25"/>
      <c r="JF129" s="25"/>
      <c r="JG129" s="25"/>
      <c r="JH129" s="25"/>
      <c r="JI129" s="25"/>
      <c r="JJ129" s="25"/>
      <c r="JK129" s="25"/>
      <c r="JL129" s="25"/>
      <c r="JM129" s="25"/>
      <c r="JN129" s="25"/>
      <c r="JO129" s="25"/>
      <c r="JP129" s="25"/>
      <c r="JQ129" s="25"/>
      <c r="JR129" s="25"/>
      <c r="JS129" s="25"/>
      <c r="JT129" s="25"/>
      <c r="JU129" s="25"/>
      <c r="JV129" s="25"/>
      <c r="JW129" s="25"/>
      <c r="JX129" s="25"/>
      <c r="JY129" s="25"/>
      <c r="JZ129" s="25"/>
      <c r="KA129" s="25"/>
      <c r="KB129" s="25"/>
      <c r="KC129" s="25"/>
      <c r="KD129" s="25"/>
      <c r="KE129" s="25"/>
      <c r="KF129" s="25"/>
      <c r="KG129" s="25"/>
      <c r="KH129" s="25"/>
      <c r="KI129" s="25"/>
      <c r="KJ129" s="25"/>
      <c r="KK129" s="25"/>
      <c r="KL129" s="25"/>
      <c r="KM129" s="25"/>
      <c r="KN129" s="25"/>
      <c r="KO129" s="25"/>
      <c r="KP129" s="25"/>
      <c r="KQ129" s="25"/>
      <c r="KR129" s="25"/>
      <c r="KS129" s="25"/>
      <c r="KT129" s="25"/>
      <c r="KU129" s="25"/>
      <c r="KV129" s="25"/>
      <c r="KW129" s="25"/>
      <c r="KX129" s="25"/>
      <c r="KY129" s="25"/>
      <c r="KZ129" s="25"/>
      <c r="LA129" s="25"/>
      <c r="LB129" s="25"/>
      <c r="LC129" s="25"/>
      <c r="LD129" s="25"/>
      <c r="LE129" s="25"/>
      <c r="LF129" s="25"/>
      <c r="LG129" s="25"/>
      <c r="LH129" s="25"/>
      <c r="LI129" s="25"/>
      <c r="LJ129" s="25"/>
      <c r="LK129" s="25"/>
      <c r="LL129" s="25"/>
      <c r="LM129" s="25"/>
      <c r="LN129" s="25"/>
      <c r="LO129" s="25"/>
      <c r="LP129" s="25"/>
      <c r="LQ129" s="25"/>
      <c r="LR129" s="25"/>
      <c r="LS129" s="25"/>
      <c r="LT129" s="25"/>
      <c r="LU129" s="25"/>
      <c r="LV129" s="25"/>
      <c r="LW129" s="25"/>
      <c r="LX129" s="25"/>
      <c r="LY129" s="25"/>
      <c r="LZ129" s="25"/>
      <c r="MA129" s="25"/>
      <c r="MB129" s="25"/>
      <c r="MC129" s="25"/>
      <c r="MD129" s="25"/>
      <c r="ME129" s="25"/>
      <c r="MF129" s="25"/>
      <c r="MG129" s="25"/>
      <c r="MH129" s="25"/>
      <c r="MI129" s="25"/>
      <c r="MJ129" s="25"/>
      <c r="MK129" s="25"/>
      <c r="ML129" s="25"/>
      <c r="MM129" s="25"/>
      <c r="MN129" s="25"/>
      <c r="MO129" s="25"/>
      <c r="MP129" s="25"/>
      <c r="MQ129" s="25"/>
      <c r="MR129" s="25"/>
      <c r="MS129" s="25"/>
      <c r="MT129" s="25"/>
      <c r="MU129" s="25"/>
      <c r="MV129" s="25"/>
      <c r="MW129" s="25"/>
      <c r="MX129" s="25"/>
      <c r="MY129" s="25"/>
      <c r="MZ129" s="25"/>
      <c r="NA129" s="25"/>
      <c r="NB129" s="25"/>
      <c r="NC129" s="25"/>
      <c r="ND129" s="25"/>
      <c r="NE129" s="33"/>
      <c r="OG129" s="18">
        <v>1</v>
      </c>
      <c r="OH129" s="18">
        <v>43196</v>
      </c>
      <c r="OI129" s="18">
        <v>43248</v>
      </c>
      <c r="PJ129" s="20" t="s">
        <v>11</v>
      </c>
      <c r="PK129" s="20">
        <v>106</v>
      </c>
    </row>
    <row r="130" spans="1:427" ht="0.75" customHeight="1" x14ac:dyDescent="0.2">
      <c r="A130" s="28"/>
      <c r="B130" s="22"/>
      <c r="C130" s="22"/>
      <c r="D130" s="44"/>
      <c r="E130" s="23"/>
      <c r="F130" s="24" t="s">
        <v>10</v>
      </c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  <c r="EX130" s="25"/>
      <c r="EY130" s="25"/>
      <c r="EZ130" s="25"/>
      <c r="FA130" s="25"/>
      <c r="FB130" s="25"/>
      <c r="FC130" s="25"/>
      <c r="FD130" s="25"/>
      <c r="FE130" s="25"/>
      <c r="FF130" s="25"/>
      <c r="FG130" s="25"/>
      <c r="FH130" s="25"/>
      <c r="FI130" s="25"/>
      <c r="FJ130" s="25"/>
      <c r="FK130" s="25"/>
      <c r="FL130" s="25"/>
      <c r="FM130" s="25"/>
      <c r="FN130" s="25"/>
      <c r="FO130" s="25"/>
      <c r="FP130" s="25"/>
      <c r="FQ130" s="25"/>
      <c r="FR130" s="25"/>
      <c r="FS130" s="25"/>
      <c r="FT130" s="25"/>
      <c r="FU130" s="25"/>
      <c r="FV130" s="25"/>
      <c r="FW130" s="25"/>
      <c r="FX130" s="25"/>
      <c r="FY130" s="25"/>
      <c r="FZ130" s="25"/>
      <c r="GA130" s="25"/>
      <c r="GB130" s="25"/>
      <c r="GC130" s="25"/>
      <c r="GD130" s="25"/>
      <c r="GE130" s="25"/>
      <c r="GF130" s="25"/>
      <c r="GG130" s="25"/>
      <c r="GH130" s="25"/>
      <c r="GI130" s="25"/>
      <c r="GJ130" s="25"/>
      <c r="GK130" s="25"/>
      <c r="GL130" s="25"/>
      <c r="GM130" s="25"/>
      <c r="GN130" s="25"/>
      <c r="GO130" s="25"/>
      <c r="GP130" s="25"/>
      <c r="GQ130" s="25"/>
      <c r="GR130" s="25"/>
      <c r="GS130" s="25"/>
      <c r="GT130" s="25"/>
      <c r="GU130" s="25"/>
      <c r="GV130" s="25"/>
      <c r="GW130" s="25"/>
      <c r="GX130" s="25"/>
      <c r="GY130" s="25"/>
      <c r="GZ130" s="25"/>
      <c r="HA130" s="25"/>
      <c r="HB130" s="25"/>
      <c r="HC130" s="25"/>
      <c r="HD130" s="25"/>
      <c r="HE130" s="25"/>
      <c r="HF130" s="25"/>
      <c r="HG130" s="25"/>
      <c r="HH130" s="25"/>
      <c r="HI130" s="25"/>
      <c r="HJ130" s="25"/>
      <c r="HK130" s="25"/>
      <c r="HL130" s="25"/>
      <c r="HM130" s="25"/>
      <c r="HN130" s="25"/>
      <c r="HO130" s="25"/>
      <c r="HP130" s="25"/>
      <c r="HQ130" s="25"/>
      <c r="HR130" s="25"/>
      <c r="HS130" s="25"/>
      <c r="HT130" s="25"/>
      <c r="HU130" s="25"/>
      <c r="HV130" s="25"/>
      <c r="HW130" s="25"/>
      <c r="HX130" s="25"/>
      <c r="HY130" s="25"/>
      <c r="HZ130" s="25"/>
      <c r="IA130" s="25"/>
      <c r="IB130" s="25"/>
      <c r="IC130" s="25"/>
      <c r="ID130" s="25"/>
      <c r="IE130" s="25"/>
      <c r="IF130" s="25"/>
      <c r="IG130" s="25"/>
      <c r="IH130" s="25"/>
      <c r="II130" s="25"/>
      <c r="IJ130" s="25"/>
      <c r="IK130" s="25"/>
      <c r="IL130" s="25"/>
      <c r="IM130" s="25"/>
      <c r="IN130" s="25"/>
      <c r="IO130" s="25"/>
      <c r="IP130" s="25"/>
      <c r="IQ130" s="25"/>
      <c r="IR130" s="25"/>
      <c r="IS130" s="25"/>
      <c r="IT130" s="25"/>
      <c r="IU130" s="25"/>
      <c r="IV130" s="25"/>
      <c r="IW130" s="25"/>
      <c r="IX130" s="25"/>
      <c r="IY130" s="25"/>
      <c r="IZ130" s="25"/>
      <c r="JA130" s="25"/>
      <c r="JB130" s="25"/>
      <c r="JC130" s="25"/>
      <c r="JD130" s="25"/>
      <c r="JE130" s="25"/>
      <c r="JF130" s="25"/>
      <c r="JG130" s="25"/>
      <c r="JH130" s="25"/>
      <c r="JI130" s="25"/>
      <c r="JJ130" s="25"/>
      <c r="JK130" s="25"/>
      <c r="JL130" s="25"/>
      <c r="JM130" s="25"/>
      <c r="JN130" s="25"/>
      <c r="JO130" s="25"/>
      <c r="JP130" s="25"/>
      <c r="JQ130" s="25"/>
      <c r="JR130" s="25"/>
      <c r="JS130" s="25"/>
      <c r="JT130" s="25"/>
      <c r="JU130" s="25"/>
      <c r="JV130" s="25"/>
      <c r="JW130" s="25"/>
      <c r="JX130" s="25"/>
      <c r="JY130" s="25"/>
      <c r="JZ130" s="25"/>
      <c r="KA130" s="25"/>
      <c r="KB130" s="25"/>
      <c r="KC130" s="25"/>
      <c r="KD130" s="25"/>
      <c r="KE130" s="25"/>
      <c r="KF130" s="25"/>
      <c r="KG130" s="25"/>
      <c r="KH130" s="25"/>
      <c r="KI130" s="25"/>
      <c r="KJ130" s="25"/>
      <c r="KK130" s="25"/>
      <c r="KL130" s="25"/>
      <c r="KM130" s="25"/>
      <c r="KN130" s="25"/>
      <c r="KO130" s="25"/>
      <c r="KP130" s="25"/>
      <c r="KQ130" s="25"/>
      <c r="KR130" s="25"/>
      <c r="KS130" s="25"/>
      <c r="KT130" s="25"/>
      <c r="KU130" s="25"/>
      <c r="KV130" s="25"/>
      <c r="KW130" s="25"/>
      <c r="KX130" s="25"/>
      <c r="KY130" s="25"/>
      <c r="KZ130" s="25"/>
      <c r="LA130" s="25"/>
      <c r="LB130" s="25"/>
      <c r="LC130" s="25"/>
      <c r="LD130" s="25"/>
      <c r="LE130" s="25"/>
      <c r="LF130" s="25"/>
      <c r="LG130" s="25"/>
      <c r="LH130" s="25"/>
      <c r="LI130" s="25"/>
      <c r="LJ130" s="25"/>
      <c r="LK130" s="25"/>
      <c r="LL130" s="25"/>
      <c r="LM130" s="25"/>
      <c r="LN130" s="25"/>
      <c r="LO130" s="25"/>
      <c r="LP130" s="25"/>
      <c r="LQ130" s="25"/>
      <c r="LR130" s="25"/>
      <c r="LS130" s="25"/>
      <c r="LT130" s="25"/>
      <c r="LU130" s="25"/>
      <c r="LV130" s="25"/>
      <c r="LW130" s="25"/>
      <c r="LX130" s="25"/>
      <c r="LY130" s="25"/>
      <c r="LZ130" s="25"/>
      <c r="MA130" s="25"/>
      <c r="MB130" s="25"/>
      <c r="MC130" s="25"/>
      <c r="MD130" s="25"/>
      <c r="ME130" s="25"/>
      <c r="MF130" s="25"/>
      <c r="MG130" s="25"/>
      <c r="MH130" s="25"/>
      <c r="MI130" s="25"/>
      <c r="MJ130" s="25"/>
      <c r="MK130" s="25"/>
      <c r="ML130" s="25"/>
      <c r="MM130" s="25"/>
      <c r="MN130" s="25"/>
      <c r="MO130" s="25"/>
      <c r="MP130" s="25"/>
      <c r="MQ130" s="25"/>
      <c r="MR130" s="25"/>
      <c r="MS130" s="25"/>
      <c r="MT130" s="25"/>
      <c r="MU130" s="25"/>
      <c r="MV130" s="25"/>
      <c r="MW130" s="25"/>
      <c r="MX130" s="25"/>
      <c r="MY130" s="25"/>
      <c r="MZ130" s="25"/>
      <c r="NA130" s="25"/>
      <c r="NB130" s="25"/>
      <c r="NC130" s="25"/>
      <c r="ND130" s="25"/>
      <c r="NE130" s="33"/>
    </row>
    <row r="131" spans="1:427" ht="13.5" customHeight="1" x14ac:dyDescent="0.2">
      <c r="A131" s="28"/>
      <c r="B131" s="22"/>
      <c r="C131" s="26"/>
      <c r="D131" s="44"/>
      <c r="E131" s="23"/>
      <c r="F131" s="24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  <c r="EX131" s="25"/>
      <c r="EY131" s="25"/>
      <c r="EZ131" s="25"/>
      <c r="FA131" s="25"/>
      <c r="FB131" s="25"/>
      <c r="FC131" s="25"/>
      <c r="FD131" s="25"/>
      <c r="FE131" s="25"/>
      <c r="FF131" s="25"/>
      <c r="FG131" s="25"/>
      <c r="FH131" s="25"/>
      <c r="FI131" s="25"/>
      <c r="FJ131" s="25"/>
      <c r="FK131" s="25"/>
      <c r="FL131" s="25"/>
      <c r="FM131" s="25"/>
      <c r="FN131" s="25"/>
      <c r="FO131" s="25"/>
      <c r="FP131" s="25"/>
      <c r="FQ131" s="25"/>
      <c r="FR131" s="25"/>
      <c r="FS131" s="25"/>
      <c r="FT131" s="25"/>
      <c r="FU131" s="25"/>
      <c r="FV131" s="25"/>
      <c r="FW131" s="25"/>
      <c r="FX131" s="25"/>
      <c r="FY131" s="25"/>
      <c r="FZ131" s="25"/>
      <c r="GA131" s="25"/>
      <c r="GB131" s="25"/>
      <c r="GC131" s="25"/>
      <c r="GD131" s="25"/>
      <c r="GE131" s="25"/>
      <c r="GF131" s="25"/>
      <c r="GG131" s="25"/>
      <c r="GH131" s="25"/>
      <c r="GI131" s="25"/>
      <c r="GJ131" s="25"/>
      <c r="GK131" s="25"/>
      <c r="GL131" s="25"/>
      <c r="GM131" s="25"/>
      <c r="GN131" s="25"/>
      <c r="GO131" s="25"/>
      <c r="GP131" s="25"/>
      <c r="GQ131" s="25"/>
      <c r="GR131" s="25"/>
      <c r="GS131" s="25"/>
      <c r="GT131" s="25"/>
      <c r="GU131" s="25"/>
      <c r="GV131" s="25"/>
      <c r="GW131" s="25"/>
      <c r="GX131" s="25"/>
      <c r="GY131" s="25"/>
      <c r="GZ131" s="25"/>
      <c r="HA131" s="25"/>
      <c r="HB131" s="25"/>
      <c r="HC131" s="25"/>
      <c r="HD131" s="25"/>
      <c r="HE131" s="25"/>
      <c r="HF131" s="25"/>
      <c r="HG131" s="25"/>
      <c r="HH131" s="25"/>
      <c r="HI131" s="25"/>
      <c r="HJ131" s="25"/>
      <c r="HK131" s="25"/>
      <c r="HL131" s="25"/>
      <c r="HM131" s="25"/>
      <c r="HN131" s="25"/>
      <c r="HO131" s="25"/>
      <c r="HP131" s="25"/>
      <c r="HQ131" s="25"/>
      <c r="HR131" s="25"/>
      <c r="HS131" s="25"/>
      <c r="HT131" s="25"/>
      <c r="HU131" s="25"/>
      <c r="HV131" s="25"/>
      <c r="HW131" s="25"/>
      <c r="HX131" s="25"/>
      <c r="HY131" s="25"/>
      <c r="HZ131" s="25"/>
      <c r="IA131" s="25"/>
      <c r="IB131" s="25"/>
      <c r="IC131" s="25"/>
      <c r="ID131" s="25"/>
      <c r="IE131" s="25"/>
      <c r="IF131" s="25"/>
      <c r="IG131" s="25"/>
      <c r="IH131" s="25"/>
      <c r="II131" s="25"/>
      <c r="IJ131" s="25"/>
      <c r="IK131" s="25"/>
      <c r="IL131" s="25"/>
      <c r="IM131" s="25"/>
      <c r="IN131" s="25"/>
      <c r="IO131" s="25"/>
      <c r="IP131" s="25"/>
      <c r="IQ131" s="25"/>
      <c r="IR131" s="25"/>
      <c r="IS131" s="25"/>
      <c r="IT131" s="25"/>
      <c r="IU131" s="25"/>
      <c r="IV131" s="25"/>
      <c r="IW131" s="25"/>
      <c r="IX131" s="25"/>
      <c r="IY131" s="25"/>
      <c r="IZ131" s="25"/>
      <c r="JA131" s="25"/>
      <c r="JB131" s="25"/>
      <c r="JC131" s="25"/>
      <c r="JD131" s="25"/>
      <c r="JE131" s="25"/>
      <c r="JF131" s="25"/>
      <c r="JG131" s="25"/>
      <c r="JH131" s="25"/>
      <c r="JI131" s="25"/>
      <c r="JJ131" s="25"/>
      <c r="JK131" s="25"/>
      <c r="JL131" s="25"/>
      <c r="JM131" s="25"/>
      <c r="JN131" s="25"/>
      <c r="JO131" s="25"/>
      <c r="JP131" s="25"/>
      <c r="JQ131" s="25"/>
      <c r="JR131" s="25"/>
      <c r="JS131" s="25"/>
      <c r="JT131" s="25"/>
      <c r="JU131" s="25"/>
      <c r="JV131" s="25"/>
      <c r="JW131" s="25"/>
      <c r="JX131" s="25"/>
      <c r="JY131" s="25"/>
      <c r="JZ131" s="25"/>
      <c r="KA131" s="25"/>
      <c r="KB131" s="25"/>
      <c r="KC131" s="25"/>
      <c r="KD131" s="25"/>
      <c r="KE131" s="25"/>
      <c r="KF131" s="25"/>
      <c r="KG131" s="25"/>
      <c r="KH131" s="25"/>
      <c r="KI131" s="25"/>
      <c r="KJ131" s="25"/>
      <c r="KK131" s="25"/>
      <c r="KL131" s="25"/>
      <c r="KM131" s="25"/>
      <c r="KN131" s="25"/>
      <c r="KO131" s="25"/>
      <c r="KP131" s="25"/>
      <c r="KQ131" s="25"/>
      <c r="KR131" s="25"/>
      <c r="KS131" s="25"/>
      <c r="KT131" s="25"/>
      <c r="KU131" s="25"/>
      <c r="KV131" s="25"/>
      <c r="KW131" s="25"/>
      <c r="KX131" s="25"/>
      <c r="KY131" s="25"/>
      <c r="KZ131" s="25"/>
      <c r="LA131" s="25"/>
      <c r="LB131" s="25"/>
      <c r="LC131" s="25"/>
      <c r="LD131" s="25"/>
      <c r="LE131" s="25"/>
      <c r="LF131" s="25"/>
      <c r="LG131" s="25"/>
      <c r="LH131" s="25"/>
      <c r="LI131" s="25"/>
      <c r="LJ131" s="25"/>
      <c r="LK131" s="25"/>
      <c r="LL131" s="25"/>
      <c r="LM131" s="25"/>
      <c r="LN131" s="25"/>
      <c r="LO131" s="25"/>
      <c r="LP131" s="25"/>
      <c r="LQ131" s="25"/>
      <c r="LR131" s="25"/>
      <c r="LS131" s="25"/>
      <c r="LT131" s="25"/>
      <c r="LU131" s="25"/>
      <c r="LV131" s="25"/>
      <c r="LW131" s="25"/>
      <c r="LX131" s="25"/>
      <c r="LY131" s="25"/>
      <c r="LZ131" s="25"/>
      <c r="MA131" s="25"/>
      <c r="MB131" s="25"/>
      <c r="MC131" s="25"/>
      <c r="MD131" s="25"/>
      <c r="ME131" s="25"/>
      <c r="MF131" s="25"/>
      <c r="MG131" s="25"/>
      <c r="MH131" s="25"/>
      <c r="MI131" s="25"/>
      <c r="MJ131" s="25"/>
      <c r="MK131" s="25"/>
      <c r="ML131" s="25"/>
      <c r="MM131" s="25"/>
      <c r="MN131" s="25"/>
      <c r="MO131" s="25"/>
      <c r="MP131" s="25"/>
      <c r="MQ131" s="25"/>
      <c r="MR131" s="25"/>
      <c r="MS131" s="25"/>
      <c r="MT131" s="25"/>
      <c r="MU131" s="25"/>
      <c r="MV131" s="25"/>
      <c r="MW131" s="25"/>
      <c r="MX131" s="25"/>
      <c r="MY131" s="25"/>
      <c r="MZ131" s="25"/>
      <c r="NA131" s="25"/>
      <c r="NB131" s="25"/>
      <c r="NC131" s="25"/>
      <c r="ND131" s="25"/>
      <c r="NE131" s="33"/>
      <c r="OG131" s="18">
        <v>1</v>
      </c>
      <c r="OH131" s="18">
        <v>43336</v>
      </c>
      <c r="OI131" s="18">
        <v>43388</v>
      </c>
      <c r="PJ131" s="20" t="s">
        <v>11</v>
      </c>
      <c r="PK131" s="20">
        <v>106</v>
      </c>
    </row>
    <row r="132" spans="1:427" ht="13.5" customHeight="1" x14ac:dyDescent="0.2">
      <c r="A132" s="28"/>
      <c r="B132" s="22"/>
      <c r="C132" s="26"/>
      <c r="D132" s="44"/>
      <c r="E132" s="23"/>
      <c r="F132" s="24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  <c r="EX132" s="25"/>
      <c r="EY132" s="25"/>
      <c r="EZ132" s="25"/>
      <c r="FA132" s="25"/>
      <c r="FB132" s="25"/>
      <c r="FC132" s="25"/>
      <c r="FD132" s="25"/>
      <c r="FE132" s="25"/>
      <c r="FF132" s="25"/>
      <c r="FG132" s="25"/>
      <c r="FH132" s="25"/>
      <c r="FI132" s="25"/>
      <c r="FJ132" s="25"/>
      <c r="FK132" s="25"/>
      <c r="FL132" s="25"/>
      <c r="FM132" s="25"/>
      <c r="FN132" s="25"/>
      <c r="FO132" s="25"/>
      <c r="FP132" s="25"/>
      <c r="FQ132" s="25"/>
      <c r="FR132" s="25"/>
      <c r="FS132" s="25"/>
      <c r="FT132" s="25"/>
      <c r="FU132" s="25"/>
      <c r="FV132" s="25"/>
      <c r="FW132" s="25"/>
      <c r="FX132" s="25"/>
      <c r="FY132" s="25"/>
      <c r="FZ132" s="25"/>
      <c r="GA132" s="25"/>
      <c r="GB132" s="25"/>
      <c r="GC132" s="25"/>
      <c r="GD132" s="25"/>
      <c r="GE132" s="25"/>
      <c r="GF132" s="25"/>
      <c r="GG132" s="25"/>
      <c r="GH132" s="25"/>
      <c r="GI132" s="25"/>
      <c r="GJ132" s="25"/>
      <c r="GK132" s="25"/>
      <c r="GL132" s="25"/>
      <c r="GM132" s="25"/>
      <c r="GN132" s="25"/>
      <c r="GO132" s="25"/>
      <c r="GP132" s="25"/>
      <c r="GQ132" s="25"/>
      <c r="GR132" s="25"/>
      <c r="GS132" s="25"/>
      <c r="GT132" s="25"/>
      <c r="GU132" s="25"/>
      <c r="GV132" s="25"/>
      <c r="GW132" s="25"/>
      <c r="GX132" s="25"/>
      <c r="GY132" s="25"/>
      <c r="GZ132" s="25"/>
      <c r="HA132" s="25"/>
      <c r="HB132" s="25"/>
      <c r="HC132" s="25"/>
      <c r="HD132" s="25"/>
      <c r="HE132" s="25"/>
      <c r="HF132" s="25"/>
      <c r="HG132" s="25"/>
      <c r="HH132" s="25"/>
      <c r="HI132" s="25"/>
      <c r="HJ132" s="25"/>
      <c r="HK132" s="25"/>
      <c r="HL132" s="25"/>
      <c r="HM132" s="25"/>
      <c r="HN132" s="25"/>
      <c r="HO132" s="25"/>
      <c r="HP132" s="25"/>
      <c r="HQ132" s="25"/>
      <c r="HR132" s="25"/>
      <c r="HS132" s="25"/>
      <c r="HT132" s="25"/>
      <c r="HU132" s="25"/>
      <c r="HV132" s="25"/>
      <c r="HW132" s="25"/>
      <c r="HX132" s="25"/>
      <c r="HY132" s="25"/>
      <c r="HZ132" s="25"/>
      <c r="IA132" s="25"/>
      <c r="IB132" s="25"/>
      <c r="IC132" s="25"/>
      <c r="ID132" s="25"/>
      <c r="IE132" s="25"/>
      <c r="IF132" s="25"/>
      <c r="IG132" s="25"/>
      <c r="IH132" s="25"/>
      <c r="II132" s="25"/>
      <c r="IJ132" s="25"/>
      <c r="IK132" s="25"/>
      <c r="IL132" s="25"/>
      <c r="IM132" s="25"/>
      <c r="IN132" s="25"/>
      <c r="IO132" s="25"/>
      <c r="IP132" s="25"/>
      <c r="IQ132" s="25"/>
      <c r="IR132" s="25"/>
      <c r="IS132" s="25"/>
      <c r="IT132" s="25"/>
      <c r="IU132" s="25"/>
      <c r="IV132" s="25"/>
      <c r="IW132" s="25"/>
      <c r="IX132" s="25"/>
      <c r="IY132" s="25"/>
      <c r="IZ132" s="25"/>
      <c r="JA132" s="25"/>
      <c r="JB132" s="25"/>
      <c r="JC132" s="25"/>
      <c r="JD132" s="25"/>
      <c r="JE132" s="25"/>
      <c r="JF132" s="25"/>
      <c r="JG132" s="25"/>
      <c r="JH132" s="25"/>
      <c r="JI132" s="25"/>
      <c r="JJ132" s="25"/>
      <c r="JK132" s="25"/>
      <c r="JL132" s="25"/>
      <c r="JM132" s="25"/>
      <c r="JN132" s="25"/>
      <c r="JO132" s="25"/>
      <c r="JP132" s="25"/>
      <c r="JQ132" s="25"/>
      <c r="JR132" s="25"/>
      <c r="JS132" s="25"/>
      <c r="JT132" s="25"/>
      <c r="JU132" s="25"/>
      <c r="JV132" s="25"/>
      <c r="JW132" s="25"/>
      <c r="JX132" s="25"/>
      <c r="JY132" s="25"/>
      <c r="JZ132" s="25"/>
      <c r="KA132" s="25"/>
      <c r="KB132" s="25"/>
      <c r="KC132" s="25"/>
      <c r="KD132" s="25"/>
      <c r="KE132" s="25"/>
      <c r="KF132" s="25"/>
      <c r="KG132" s="25"/>
      <c r="KH132" s="25"/>
      <c r="KI132" s="25"/>
      <c r="KJ132" s="25"/>
      <c r="KK132" s="25"/>
      <c r="KL132" s="25"/>
      <c r="KM132" s="25"/>
      <c r="KN132" s="25"/>
      <c r="KO132" s="25"/>
      <c r="KP132" s="25"/>
      <c r="KQ132" s="25"/>
      <c r="KR132" s="25"/>
      <c r="KS132" s="25"/>
      <c r="KT132" s="25"/>
      <c r="KU132" s="25"/>
      <c r="KV132" s="25"/>
      <c r="KW132" s="25"/>
      <c r="KX132" s="25"/>
      <c r="KY132" s="25"/>
      <c r="KZ132" s="25"/>
      <c r="LA132" s="25"/>
      <c r="LB132" s="25"/>
      <c r="LC132" s="25"/>
      <c r="LD132" s="25"/>
      <c r="LE132" s="25"/>
      <c r="LF132" s="25"/>
      <c r="LG132" s="25"/>
      <c r="LH132" s="25"/>
      <c r="LI132" s="25"/>
      <c r="LJ132" s="25"/>
      <c r="LK132" s="25"/>
      <c r="LL132" s="25"/>
      <c r="LM132" s="25"/>
      <c r="LN132" s="25"/>
      <c r="LO132" s="25"/>
      <c r="LP132" s="25"/>
      <c r="LQ132" s="25"/>
      <c r="LR132" s="25"/>
      <c r="LS132" s="25"/>
      <c r="LT132" s="25"/>
      <c r="LU132" s="25"/>
      <c r="LV132" s="25"/>
      <c r="LW132" s="25"/>
      <c r="LX132" s="25"/>
      <c r="LY132" s="25"/>
      <c r="LZ132" s="25"/>
      <c r="MA132" s="25"/>
      <c r="MB132" s="25"/>
      <c r="MC132" s="25"/>
      <c r="MD132" s="25"/>
      <c r="ME132" s="25"/>
      <c r="MF132" s="25"/>
      <c r="MG132" s="25"/>
      <c r="MH132" s="25"/>
      <c r="MI132" s="25"/>
      <c r="MJ132" s="25"/>
      <c r="MK132" s="25"/>
      <c r="ML132" s="25"/>
      <c r="MM132" s="25"/>
      <c r="MN132" s="25"/>
      <c r="MO132" s="25"/>
      <c r="MP132" s="25"/>
      <c r="MQ132" s="25"/>
      <c r="MR132" s="25"/>
      <c r="MS132" s="25"/>
      <c r="MT132" s="25"/>
      <c r="MU132" s="25"/>
      <c r="MV132" s="25"/>
      <c r="MW132" s="25"/>
      <c r="MX132" s="25"/>
      <c r="MY132" s="25"/>
      <c r="MZ132" s="25"/>
      <c r="NA132" s="25"/>
      <c r="NB132" s="25"/>
      <c r="NC132" s="25"/>
      <c r="ND132" s="25"/>
      <c r="NE132" s="33"/>
      <c r="OG132" s="18">
        <v>1</v>
      </c>
      <c r="OH132" s="18">
        <v>43196</v>
      </c>
      <c r="OI132" s="18">
        <v>43248</v>
      </c>
      <c r="PJ132" s="20" t="s">
        <v>11</v>
      </c>
      <c r="PK132" s="20">
        <v>106</v>
      </c>
    </row>
    <row r="133" spans="1:427" ht="0.75" customHeight="1" x14ac:dyDescent="0.2">
      <c r="A133" s="28"/>
      <c r="B133" s="22"/>
      <c r="C133" s="22"/>
      <c r="D133" s="44"/>
      <c r="E133" s="23"/>
      <c r="F133" s="24" t="s">
        <v>10</v>
      </c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  <c r="EX133" s="25"/>
      <c r="EY133" s="25"/>
      <c r="EZ133" s="25"/>
      <c r="FA133" s="25"/>
      <c r="FB133" s="25"/>
      <c r="FC133" s="25"/>
      <c r="FD133" s="25"/>
      <c r="FE133" s="25"/>
      <c r="FF133" s="25"/>
      <c r="FG133" s="25"/>
      <c r="FH133" s="25"/>
      <c r="FI133" s="25"/>
      <c r="FJ133" s="25"/>
      <c r="FK133" s="25"/>
      <c r="FL133" s="25"/>
      <c r="FM133" s="25"/>
      <c r="FN133" s="25"/>
      <c r="FO133" s="25"/>
      <c r="FP133" s="25"/>
      <c r="FQ133" s="25"/>
      <c r="FR133" s="25"/>
      <c r="FS133" s="25"/>
      <c r="FT133" s="25"/>
      <c r="FU133" s="25"/>
      <c r="FV133" s="25"/>
      <c r="FW133" s="25"/>
      <c r="FX133" s="25"/>
      <c r="FY133" s="25"/>
      <c r="FZ133" s="25"/>
      <c r="GA133" s="25"/>
      <c r="GB133" s="25"/>
      <c r="GC133" s="25"/>
      <c r="GD133" s="25"/>
      <c r="GE133" s="25"/>
      <c r="GF133" s="25"/>
      <c r="GG133" s="25"/>
      <c r="GH133" s="25"/>
      <c r="GI133" s="25"/>
      <c r="GJ133" s="25"/>
      <c r="GK133" s="25"/>
      <c r="GL133" s="25"/>
      <c r="GM133" s="25"/>
      <c r="GN133" s="25"/>
      <c r="GO133" s="25"/>
      <c r="GP133" s="25"/>
      <c r="GQ133" s="25"/>
      <c r="GR133" s="25"/>
      <c r="GS133" s="25"/>
      <c r="GT133" s="25"/>
      <c r="GU133" s="25"/>
      <c r="GV133" s="25"/>
      <c r="GW133" s="25"/>
      <c r="GX133" s="25"/>
      <c r="GY133" s="25"/>
      <c r="GZ133" s="25"/>
      <c r="HA133" s="25"/>
      <c r="HB133" s="25"/>
      <c r="HC133" s="25"/>
      <c r="HD133" s="25"/>
      <c r="HE133" s="25"/>
      <c r="HF133" s="25"/>
      <c r="HG133" s="25"/>
      <c r="HH133" s="25"/>
      <c r="HI133" s="25"/>
      <c r="HJ133" s="25"/>
      <c r="HK133" s="25"/>
      <c r="HL133" s="25"/>
      <c r="HM133" s="25"/>
      <c r="HN133" s="25"/>
      <c r="HO133" s="25"/>
      <c r="HP133" s="25"/>
      <c r="HQ133" s="25"/>
      <c r="HR133" s="25"/>
      <c r="HS133" s="25"/>
      <c r="HT133" s="25"/>
      <c r="HU133" s="25"/>
      <c r="HV133" s="25"/>
      <c r="HW133" s="25"/>
      <c r="HX133" s="25"/>
      <c r="HY133" s="25"/>
      <c r="HZ133" s="25"/>
      <c r="IA133" s="25"/>
      <c r="IB133" s="25"/>
      <c r="IC133" s="25"/>
      <c r="ID133" s="25"/>
      <c r="IE133" s="25"/>
      <c r="IF133" s="25"/>
      <c r="IG133" s="25"/>
      <c r="IH133" s="25"/>
      <c r="II133" s="25"/>
      <c r="IJ133" s="25"/>
      <c r="IK133" s="25"/>
      <c r="IL133" s="25"/>
      <c r="IM133" s="25"/>
      <c r="IN133" s="25"/>
      <c r="IO133" s="25"/>
      <c r="IP133" s="25"/>
      <c r="IQ133" s="25"/>
      <c r="IR133" s="25"/>
      <c r="IS133" s="25"/>
      <c r="IT133" s="25"/>
      <c r="IU133" s="25"/>
      <c r="IV133" s="25"/>
      <c r="IW133" s="25"/>
      <c r="IX133" s="25"/>
      <c r="IY133" s="25"/>
      <c r="IZ133" s="25"/>
      <c r="JA133" s="25"/>
      <c r="JB133" s="25"/>
      <c r="JC133" s="25"/>
      <c r="JD133" s="25"/>
      <c r="JE133" s="25"/>
      <c r="JF133" s="25"/>
      <c r="JG133" s="25"/>
      <c r="JH133" s="25"/>
      <c r="JI133" s="25"/>
      <c r="JJ133" s="25"/>
      <c r="JK133" s="25"/>
      <c r="JL133" s="25"/>
      <c r="JM133" s="25"/>
      <c r="JN133" s="25"/>
      <c r="JO133" s="25"/>
      <c r="JP133" s="25"/>
      <c r="JQ133" s="25"/>
      <c r="JR133" s="25"/>
      <c r="JS133" s="25"/>
      <c r="JT133" s="25"/>
      <c r="JU133" s="25"/>
      <c r="JV133" s="25"/>
      <c r="JW133" s="25"/>
      <c r="JX133" s="25"/>
      <c r="JY133" s="25"/>
      <c r="JZ133" s="25"/>
      <c r="KA133" s="25"/>
      <c r="KB133" s="25"/>
      <c r="KC133" s="25"/>
      <c r="KD133" s="25"/>
      <c r="KE133" s="25"/>
      <c r="KF133" s="25"/>
      <c r="KG133" s="25"/>
      <c r="KH133" s="25"/>
      <c r="KI133" s="25"/>
      <c r="KJ133" s="25"/>
      <c r="KK133" s="25"/>
      <c r="KL133" s="25"/>
      <c r="KM133" s="25"/>
      <c r="KN133" s="25"/>
      <c r="KO133" s="25"/>
      <c r="KP133" s="25"/>
      <c r="KQ133" s="25"/>
      <c r="KR133" s="25"/>
      <c r="KS133" s="25"/>
      <c r="KT133" s="25"/>
      <c r="KU133" s="25"/>
      <c r="KV133" s="25"/>
      <c r="KW133" s="25"/>
      <c r="KX133" s="25"/>
      <c r="KY133" s="25"/>
      <c r="KZ133" s="25"/>
      <c r="LA133" s="25"/>
      <c r="LB133" s="25"/>
      <c r="LC133" s="25"/>
      <c r="LD133" s="25"/>
      <c r="LE133" s="25"/>
      <c r="LF133" s="25"/>
      <c r="LG133" s="25"/>
      <c r="LH133" s="25"/>
      <c r="LI133" s="25"/>
      <c r="LJ133" s="25"/>
      <c r="LK133" s="25"/>
      <c r="LL133" s="25"/>
      <c r="LM133" s="25"/>
      <c r="LN133" s="25"/>
      <c r="LO133" s="25"/>
      <c r="LP133" s="25"/>
      <c r="LQ133" s="25"/>
      <c r="LR133" s="25"/>
      <c r="LS133" s="25"/>
      <c r="LT133" s="25"/>
      <c r="LU133" s="25"/>
      <c r="LV133" s="25"/>
      <c r="LW133" s="25"/>
      <c r="LX133" s="25"/>
      <c r="LY133" s="25"/>
      <c r="LZ133" s="25"/>
      <c r="MA133" s="25"/>
      <c r="MB133" s="25"/>
      <c r="MC133" s="25"/>
      <c r="MD133" s="25"/>
      <c r="ME133" s="25"/>
      <c r="MF133" s="25"/>
      <c r="MG133" s="25"/>
      <c r="MH133" s="25"/>
      <c r="MI133" s="25"/>
      <c r="MJ133" s="25"/>
      <c r="MK133" s="25"/>
      <c r="ML133" s="25"/>
      <c r="MM133" s="25"/>
      <c r="MN133" s="25"/>
      <c r="MO133" s="25"/>
      <c r="MP133" s="25"/>
      <c r="MQ133" s="25"/>
      <c r="MR133" s="25"/>
      <c r="MS133" s="25"/>
      <c r="MT133" s="25"/>
      <c r="MU133" s="25"/>
      <c r="MV133" s="25"/>
      <c r="MW133" s="25"/>
      <c r="MX133" s="25"/>
      <c r="MY133" s="25"/>
      <c r="MZ133" s="25"/>
      <c r="NA133" s="25"/>
      <c r="NB133" s="25"/>
      <c r="NC133" s="25"/>
      <c r="ND133" s="25"/>
      <c r="NE133" s="33"/>
    </row>
    <row r="134" spans="1:427" ht="13.5" customHeight="1" x14ac:dyDescent="0.2">
      <c r="A134" s="28"/>
      <c r="B134" s="22"/>
      <c r="C134" s="26"/>
      <c r="D134" s="44"/>
      <c r="E134" s="23"/>
      <c r="F134" s="24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  <c r="EX134" s="25"/>
      <c r="EY134" s="25"/>
      <c r="EZ134" s="25"/>
      <c r="FA134" s="25"/>
      <c r="FB134" s="25"/>
      <c r="FC134" s="25"/>
      <c r="FD134" s="25"/>
      <c r="FE134" s="25"/>
      <c r="FF134" s="25"/>
      <c r="FG134" s="25"/>
      <c r="FH134" s="25"/>
      <c r="FI134" s="25"/>
      <c r="FJ134" s="25"/>
      <c r="FK134" s="25"/>
      <c r="FL134" s="25"/>
      <c r="FM134" s="25"/>
      <c r="FN134" s="25"/>
      <c r="FO134" s="25"/>
      <c r="FP134" s="25"/>
      <c r="FQ134" s="25"/>
      <c r="FR134" s="25"/>
      <c r="FS134" s="25"/>
      <c r="FT134" s="25"/>
      <c r="FU134" s="25"/>
      <c r="FV134" s="25"/>
      <c r="FW134" s="25"/>
      <c r="FX134" s="25"/>
      <c r="FY134" s="25"/>
      <c r="FZ134" s="25"/>
      <c r="GA134" s="25"/>
      <c r="GB134" s="25"/>
      <c r="GC134" s="25"/>
      <c r="GD134" s="25"/>
      <c r="GE134" s="25"/>
      <c r="GF134" s="25"/>
      <c r="GG134" s="25"/>
      <c r="GH134" s="25"/>
      <c r="GI134" s="25"/>
      <c r="GJ134" s="25"/>
      <c r="GK134" s="25"/>
      <c r="GL134" s="25"/>
      <c r="GM134" s="25"/>
      <c r="GN134" s="25"/>
      <c r="GO134" s="25"/>
      <c r="GP134" s="25"/>
      <c r="GQ134" s="25"/>
      <c r="GR134" s="25"/>
      <c r="GS134" s="25"/>
      <c r="GT134" s="25"/>
      <c r="GU134" s="25"/>
      <c r="GV134" s="25"/>
      <c r="GW134" s="25"/>
      <c r="GX134" s="25"/>
      <c r="GY134" s="25"/>
      <c r="GZ134" s="25"/>
      <c r="HA134" s="25"/>
      <c r="HB134" s="25"/>
      <c r="HC134" s="25"/>
      <c r="HD134" s="25"/>
      <c r="HE134" s="25"/>
      <c r="HF134" s="25"/>
      <c r="HG134" s="25"/>
      <c r="HH134" s="25"/>
      <c r="HI134" s="25"/>
      <c r="HJ134" s="25"/>
      <c r="HK134" s="25"/>
      <c r="HL134" s="25"/>
      <c r="HM134" s="25"/>
      <c r="HN134" s="25"/>
      <c r="HO134" s="25"/>
      <c r="HP134" s="25"/>
      <c r="HQ134" s="25"/>
      <c r="HR134" s="25"/>
      <c r="HS134" s="25"/>
      <c r="HT134" s="25"/>
      <c r="HU134" s="25"/>
      <c r="HV134" s="25"/>
      <c r="HW134" s="25"/>
      <c r="HX134" s="25"/>
      <c r="HY134" s="25"/>
      <c r="HZ134" s="25"/>
      <c r="IA134" s="25"/>
      <c r="IB134" s="25"/>
      <c r="IC134" s="25"/>
      <c r="ID134" s="25"/>
      <c r="IE134" s="25"/>
      <c r="IF134" s="25"/>
      <c r="IG134" s="25"/>
      <c r="IH134" s="25"/>
      <c r="II134" s="25"/>
      <c r="IJ134" s="25"/>
      <c r="IK134" s="25"/>
      <c r="IL134" s="25"/>
      <c r="IM134" s="25"/>
      <c r="IN134" s="25"/>
      <c r="IO134" s="25"/>
      <c r="IP134" s="25"/>
      <c r="IQ134" s="25"/>
      <c r="IR134" s="25"/>
      <c r="IS134" s="25"/>
      <c r="IT134" s="25"/>
      <c r="IU134" s="25"/>
      <c r="IV134" s="25"/>
      <c r="IW134" s="25"/>
      <c r="IX134" s="25"/>
      <c r="IY134" s="25"/>
      <c r="IZ134" s="25"/>
      <c r="JA134" s="25"/>
      <c r="JB134" s="25"/>
      <c r="JC134" s="25"/>
      <c r="JD134" s="25"/>
      <c r="JE134" s="25"/>
      <c r="JF134" s="25"/>
      <c r="JG134" s="25"/>
      <c r="JH134" s="25"/>
      <c r="JI134" s="25"/>
      <c r="JJ134" s="25"/>
      <c r="JK134" s="25"/>
      <c r="JL134" s="25"/>
      <c r="JM134" s="25"/>
      <c r="JN134" s="25"/>
      <c r="JO134" s="25"/>
      <c r="JP134" s="25"/>
      <c r="JQ134" s="25"/>
      <c r="JR134" s="25"/>
      <c r="JS134" s="25"/>
      <c r="JT134" s="25"/>
      <c r="JU134" s="25"/>
      <c r="JV134" s="25"/>
      <c r="JW134" s="25"/>
      <c r="JX134" s="25"/>
      <c r="JY134" s="25"/>
      <c r="JZ134" s="25"/>
      <c r="KA134" s="25"/>
      <c r="KB134" s="25"/>
      <c r="KC134" s="25"/>
      <c r="KD134" s="25"/>
      <c r="KE134" s="25"/>
      <c r="KF134" s="25"/>
      <c r="KG134" s="25"/>
      <c r="KH134" s="25"/>
      <c r="KI134" s="25"/>
      <c r="KJ134" s="25"/>
      <c r="KK134" s="25"/>
      <c r="KL134" s="25"/>
      <c r="KM134" s="25"/>
      <c r="KN134" s="25"/>
      <c r="KO134" s="25"/>
      <c r="KP134" s="25"/>
      <c r="KQ134" s="25"/>
      <c r="KR134" s="25"/>
      <c r="KS134" s="25"/>
      <c r="KT134" s="25"/>
      <c r="KU134" s="25"/>
      <c r="KV134" s="25"/>
      <c r="KW134" s="25"/>
      <c r="KX134" s="25"/>
      <c r="KY134" s="25"/>
      <c r="KZ134" s="25"/>
      <c r="LA134" s="25"/>
      <c r="LB134" s="25"/>
      <c r="LC134" s="25"/>
      <c r="LD134" s="25"/>
      <c r="LE134" s="25"/>
      <c r="LF134" s="25"/>
      <c r="LG134" s="25"/>
      <c r="LH134" s="25"/>
      <c r="LI134" s="25"/>
      <c r="LJ134" s="25"/>
      <c r="LK134" s="25"/>
      <c r="LL134" s="25"/>
      <c r="LM134" s="25"/>
      <c r="LN134" s="25"/>
      <c r="LO134" s="25"/>
      <c r="LP134" s="25"/>
      <c r="LQ134" s="25"/>
      <c r="LR134" s="25"/>
      <c r="LS134" s="25"/>
      <c r="LT134" s="25"/>
      <c r="LU134" s="25"/>
      <c r="LV134" s="25"/>
      <c r="LW134" s="25"/>
      <c r="LX134" s="25"/>
      <c r="LY134" s="25"/>
      <c r="LZ134" s="25"/>
      <c r="MA134" s="25"/>
      <c r="MB134" s="25"/>
      <c r="MC134" s="25"/>
      <c r="MD134" s="25"/>
      <c r="ME134" s="25"/>
      <c r="MF134" s="25"/>
      <c r="MG134" s="25"/>
      <c r="MH134" s="25"/>
      <c r="MI134" s="25"/>
      <c r="MJ134" s="25"/>
      <c r="MK134" s="25"/>
      <c r="ML134" s="25"/>
      <c r="MM134" s="25"/>
      <c r="MN134" s="25"/>
      <c r="MO134" s="25"/>
      <c r="MP134" s="25"/>
      <c r="MQ134" s="25"/>
      <c r="MR134" s="25"/>
      <c r="MS134" s="25"/>
      <c r="MT134" s="25"/>
      <c r="MU134" s="25"/>
      <c r="MV134" s="25"/>
      <c r="MW134" s="25"/>
      <c r="MX134" s="25"/>
      <c r="MY134" s="25"/>
      <c r="MZ134" s="25"/>
      <c r="NA134" s="25"/>
      <c r="NB134" s="25"/>
      <c r="NC134" s="25"/>
      <c r="ND134" s="25"/>
      <c r="NE134" s="33"/>
      <c r="OG134" s="18">
        <v>1</v>
      </c>
      <c r="OH134" s="18">
        <v>43336</v>
      </c>
      <c r="OI134" s="18">
        <v>43388</v>
      </c>
      <c r="PJ134" s="20" t="s">
        <v>11</v>
      </c>
      <c r="PK134" s="20">
        <v>106</v>
      </c>
    </row>
    <row r="135" spans="1:427" ht="13.5" customHeight="1" x14ac:dyDescent="0.2">
      <c r="A135" s="28"/>
      <c r="B135" s="22"/>
      <c r="C135" s="26"/>
      <c r="D135" s="44"/>
      <c r="E135" s="23"/>
      <c r="F135" s="24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  <c r="EX135" s="25"/>
      <c r="EY135" s="25"/>
      <c r="EZ135" s="25"/>
      <c r="FA135" s="25"/>
      <c r="FB135" s="25"/>
      <c r="FC135" s="25"/>
      <c r="FD135" s="25"/>
      <c r="FE135" s="25"/>
      <c r="FF135" s="25"/>
      <c r="FG135" s="25"/>
      <c r="FH135" s="25"/>
      <c r="FI135" s="25"/>
      <c r="FJ135" s="25"/>
      <c r="FK135" s="25"/>
      <c r="FL135" s="25"/>
      <c r="FM135" s="25"/>
      <c r="FN135" s="25"/>
      <c r="FO135" s="25"/>
      <c r="FP135" s="25"/>
      <c r="FQ135" s="25"/>
      <c r="FR135" s="25"/>
      <c r="FS135" s="25"/>
      <c r="FT135" s="25"/>
      <c r="FU135" s="25"/>
      <c r="FV135" s="25"/>
      <c r="FW135" s="25"/>
      <c r="FX135" s="25"/>
      <c r="FY135" s="25"/>
      <c r="FZ135" s="25"/>
      <c r="GA135" s="25"/>
      <c r="GB135" s="25"/>
      <c r="GC135" s="25"/>
      <c r="GD135" s="25"/>
      <c r="GE135" s="25"/>
      <c r="GF135" s="25"/>
      <c r="GG135" s="25"/>
      <c r="GH135" s="25"/>
      <c r="GI135" s="25"/>
      <c r="GJ135" s="25"/>
      <c r="GK135" s="25"/>
      <c r="GL135" s="25"/>
      <c r="GM135" s="25"/>
      <c r="GN135" s="25"/>
      <c r="GO135" s="25"/>
      <c r="GP135" s="25"/>
      <c r="GQ135" s="25"/>
      <c r="GR135" s="25"/>
      <c r="GS135" s="25"/>
      <c r="GT135" s="25"/>
      <c r="GU135" s="25"/>
      <c r="GV135" s="25"/>
      <c r="GW135" s="25"/>
      <c r="GX135" s="25"/>
      <c r="GY135" s="25"/>
      <c r="GZ135" s="25"/>
      <c r="HA135" s="25"/>
      <c r="HB135" s="25"/>
      <c r="HC135" s="25"/>
      <c r="HD135" s="25"/>
      <c r="HE135" s="25"/>
      <c r="HF135" s="25"/>
      <c r="HG135" s="25"/>
      <c r="HH135" s="25"/>
      <c r="HI135" s="25"/>
      <c r="HJ135" s="25"/>
      <c r="HK135" s="25"/>
      <c r="HL135" s="25"/>
      <c r="HM135" s="25"/>
      <c r="HN135" s="25"/>
      <c r="HO135" s="25"/>
      <c r="HP135" s="25"/>
      <c r="HQ135" s="25"/>
      <c r="HR135" s="25"/>
      <c r="HS135" s="25"/>
      <c r="HT135" s="25"/>
      <c r="HU135" s="25"/>
      <c r="HV135" s="25"/>
      <c r="HW135" s="25"/>
      <c r="HX135" s="25"/>
      <c r="HY135" s="25"/>
      <c r="HZ135" s="25"/>
      <c r="IA135" s="25"/>
      <c r="IB135" s="25"/>
      <c r="IC135" s="25"/>
      <c r="ID135" s="25"/>
      <c r="IE135" s="25"/>
      <c r="IF135" s="25"/>
      <c r="IG135" s="25"/>
      <c r="IH135" s="25"/>
      <c r="II135" s="25"/>
      <c r="IJ135" s="25"/>
      <c r="IK135" s="25"/>
      <c r="IL135" s="25"/>
      <c r="IM135" s="25"/>
      <c r="IN135" s="25"/>
      <c r="IO135" s="25"/>
      <c r="IP135" s="25"/>
      <c r="IQ135" s="25"/>
      <c r="IR135" s="25"/>
      <c r="IS135" s="25"/>
      <c r="IT135" s="25"/>
      <c r="IU135" s="25"/>
      <c r="IV135" s="25"/>
      <c r="IW135" s="25"/>
      <c r="IX135" s="25"/>
      <c r="IY135" s="25"/>
      <c r="IZ135" s="25"/>
      <c r="JA135" s="25"/>
      <c r="JB135" s="25"/>
      <c r="JC135" s="25"/>
      <c r="JD135" s="25"/>
      <c r="JE135" s="25"/>
      <c r="JF135" s="25"/>
      <c r="JG135" s="25"/>
      <c r="JH135" s="25"/>
      <c r="JI135" s="25"/>
      <c r="JJ135" s="25"/>
      <c r="JK135" s="25"/>
      <c r="JL135" s="25"/>
      <c r="JM135" s="25"/>
      <c r="JN135" s="25"/>
      <c r="JO135" s="25"/>
      <c r="JP135" s="25"/>
      <c r="JQ135" s="25"/>
      <c r="JR135" s="25"/>
      <c r="JS135" s="25"/>
      <c r="JT135" s="25"/>
      <c r="JU135" s="25"/>
      <c r="JV135" s="25"/>
      <c r="JW135" s="25"/>
      <c r="JX135" s="25"/>
      <c r="JY135" s="25"/>
      <c r="JZ135" s="25"/>
      <c r="KA135" s="25"/>
      <c r="KB135" s="25"/>
      <c r="KC135" s="25"/>
      <c r="KD135" s="25"/>
      <c r="KE135" s="25"/>
      <c r="KF135" s="25"/>
      <c r="KG135" s="25"/>
      <c r="KH135" s="25"/>
      <c r="KI135" s="25"/>
      <c r="KJ135" s="25"/>
      <c r="KK135" s="25"/>
      <c r="KL135" s="25"/>
      <c r="KM135" s="25"/>
      <c r="KN135" s="25"/>
      <c r="KO135" s="25"/>
      <c r="KP135" s="25"/>
      <c r="KQ135" s="25"/>
      <c r="KR135" s="25"/>
      <c r="KS135" s="25"/>
      <c r="KT135" s="25"/>
      <c r="KU135" s="25"/>
      <c r="KV135" s="25"/>
      <c r="KW135" s="25"/>
      <c r="KX135" s="25"/>
      <c r="KY135" s="25"/>
      <c r="KZ135" s="25"/>
      <c r="LA135" s="25"/>
      <c r="LB135" s="25"/>
      <c r="LC135" s="25"/>
      <c r="LD135" s="25"/>
      <c r="LE135" s="25"/>
      <c r="LF135" s="25"/>
      <c r="LG135" s="25"/>
      <c r="LH135" s="25"/>
      <c r="LI135" s="25"/>
      <c r="LJ135" s="25"/>
      <c r="LK135" s="25"/>
      <c r="LL135" s="25"/>
      <c r="LM135" s="25"/>
      <c r="LN135" s="25"/>
      <c r="LO135" s="25"/>
      <c r="LP135" s="25"/>
      <c r="LQ135" s="25"/>
      <c r="LR135" s="25"/>
      <c r="LS135" s="25"/>
      <c r="LT135" s="25"/>
      <c r="LU135" s="25"/>
      <c r="LV135" s="25"/>
      <c r="LW135" s="25"/>
      <c r="LX135" s="25"/>
      <c r="LY135" s="25"/>
      <c r="LZ135" s="25"/>
      <c r="MA135" s="25"/>
      <c r="MB135" s="25"/>
      <c r="MC135" s="25"/>
      <c r="MD135" s="25"/>
      <c r="ME135" s="25"/>
      <c r="MF135" s="25"/>
      <c r="MG135" s="25"/>
      <c r="MH135" s="25"/>
      <c r="MI135" s="25"/>
      <c r="MJ135" s="25"/>
      <c r="MK135" s="25"/>
      <c r="ML135" s="25"/>
      <c r="MM135" s="25"/>
      <c r="MN135" s="25"/>
      <c r="MO135" s="25"/>
      <c r="MP135" s="25"/>
      <c r="MQ135" s="25"/>
      <c r="MR135" s="25"/>
      <c r="MS135" s="25"/>
      <c r="MT135" s="25"/>
      <c r="MU135" s="25"/>
      <c r="MV135" s="25"/>
      <c r="MW135" s="25"/>
      <c r="MX135" s="25"/>
      <c r="MY135" s="25"/>
      <c r="MZ135" s="25"/>
      <c r="NA135" s="25"/>
      <c r="NB135" s="25"/>
      <c r="NC135" s="25"/>
      <c r="ND135" s="25"/>
      <c r="NE135" s="33"/>
      <c r="OG135" s="18">
        <v>1</v>
      </c>
      <c r="OH135" s="18">
        <v>43196</v>
      </c>
      <c r="OI135" s="18">
        <v>43248</v>
      </c>
      <c r="PJ135" s="20" t="s">
        <v>11</v>
      </c>
      <c r="PK135" s="20">
        <v>106</v>
      </c>
    </row>
    <row r="136" spans="1:427" ht="0.75" customHeight="1" x14ac:dyDescent="0.2">
      <c r="A136" s="28"/>
      <c r="B136" s="22"/>
      <c r="C136" s="22"/>
      <c r="D136" s="44"/>
      <c r="E136" s="23"/>
      <c r="F136" s="24" t="s">
        <v>10</v>
      </c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  <c r="EX136" s="25"/>
      <c r="EY136" s="25"/>
      <c r="EZ136" s="25"/>
      <c r="FA136" s="25"/>
      <c r="FB136" s="25"/>
      <c r="FC136" s="25"/>
      <c r="FD136" s="25"/>
      <c r="FE136" s="25"/>
      <c r="FF136" s="25"/>
      <c r="FG136" s="25"/>
      <c r="FH136" s="25"/>
      <c r="FI136" s="25"/>
      <c r="FJ136" s="25"/>
      <c r="FK136" s="25"/>
      <c r="FL136" s="25"/>
      <c r="FM136" s="25"/>
      <c r="FN136" s="25"/>
      <c r="FO136" s="25"/>
      <c r="FP136" s="25"/>
      <c r="FQ136" s="25"/>
      <c r="FR136" s="25"/>
      <c r="FS136" s="25"/>
      <c r="FT136" s="25"/>
      <c r="FU136" s="25"/>
      <c r="FV136" s="25"/>
      <c r="FW136" s="25"/>
      <c r="FX136" s="25"/>
      <c r="FY136" s="25"/>
      <c r="FZ136" s="25"/>
      <c r="GA136" s="25"/>
      <c r="GB136" s="25"/>
      <c r="GC136" s="25"/>
      <c r="GD136" s="25"/>
      <c r="GE136" s="25"/>
      <c r="GF136" s="25"/>
      <c r="GG136" s="25"/>
      <c r="GH136" s="25"/>
      <c r="GI136" s="25"/>
      <c r="GJ136" s="25"/>
      <c r="GK136" s="25"/>
      <c r="GL136" s="25"/>
      <c r="GM136" s="25"/>
      <c r="GN136" s="25"/>
      <c r="GO136" s="25"/>
      <c r="GP136" s="25"/>
      <c r="GQ136" s="25"/>
      <c r="GR136" s="25"/>
      <c r="GS136" s="25"/>
      <c r="GT136" s="25"/>
      <c r="GU136" s="25"/>
      <c r="GV136" s="25"/>
      <c r="GW136" s="25"/>
      <c r="GX136" s="25"/>
      <c r="GY136" s="25"/>
      <c r="GZ136" s="25"/>
      <c r="HA136" s="25"/>
      <c r="HB136" s="25"/>
      <c r="HC136" s="25"/>
      <c r="HD136" s="25"/>
      <c r="HE136" s="25"/>
      <c r="HF136" s="25"/>
      <c r="HG136" s="25"/>
      <c r="HH136" s="25"/>
      <c r="HI136" s="25"/>
      <c r="HJ136" s="25"/>
      <c r="HK136" s="25"/>
      <c r="HL136" s="25"/>
      <c r="HM136" s="25"/>
      <c r="HN136" s="25"/>
      <c r="HO136" s="25"/>
      <c r="HP136" s="25"/>
      <c r="HQ136" s="25"/>
      <c r="HR136" s="25"/>
      <c r="HS136" s="25"/>
      <c r="HT136" s="25"/>
      <c r="HU136" s="25"/>
      <c r="HV136" s="25"/>
      <c r="HW136" s="25"/>
      <c r="HX136" s="25"/>
      <c r="HY136" s="25"/>
      <c r="HZ136" s="25"/>
      <c r="IA136" s="25"/>
      <c r="IB136" s="25"/>
      <c r="IC136" s="25"/>
      <c r="ID136" s="25"/>
      <c r="IE136" s="25"/>
      <c r="IF136" s="25"/>
      <c r="IG136" s="25"/>
      <c r="IH136" s="25"/>
      <c r="II136" s="25"/>
      <c r="IJ136" s="25"/>
      <c r="IK136" s="25"/>
      <c r="IL136" s="25"/>
      <c r="IM136" s="25"/>
      <c r="IN136" s="25"/>
      <c r="IO136" s="25"/>
      <c r="IP136" s="25"/>
      <c r="IQ136" s="25"/>
      <c r="IR136" s="25"/>
      <c r="IS136" s="25"/>
      <c r="IT136" s="25"/>
      <c r="IU136" s="25"/>
      <c r="IV136" s="25"/>
      <c r="IW136" s="25"/>
      <c r="IX136" s="25"/>
      <c r="IY136" s="25"/>
      <c r="IZ136" s="25"/>
      <c r="JA136" s="25"/>
      <c r="JB136" s="25"/>
      <c r="JC136" s="25"/>
      <c r="JD136" s="25"/>
      <c r="JE136" s="25"/>
      <c r="JF136" s="25"/>
      <c r="JG136" s="25"/>
      <c r="JH136" s="25"/>
      <c r="JI136" s="25"/>
      <c r="JJ136" s="25"/>
      <c r="JK136" s="25"/>
      <c r="JL136" s="25"/>
      <c r="JM136" s="25"/>
      <c r="JN136" s="25"/>
      <c r="JO136" s="25"/>
      <c r="JP136" s="25"/>
      <c r="JQ136" s="25"/>
      <c r="JR136" s="25"/>
      <c r="JS136" s="25"/>
      <c r="JT136" s="25"/>
      <c r="JU136" s="25"/>
      <c r="JV136" s="25"/>
      <c r="JW136" s="25"/>
      <c r="JX136" s="25"/>
      <c r="JY136" s="25"/>
      <c r="JZ136" s="25"/>
      <c r="KA136" s="25"/>
      <c r="KB136" s="25"/>
      <c r="KC136" s="25"/>
      <c r="KD136" s="25"/>
      <c r="KE136" s="25"/>
      <c r="KF136" s="25"/>
      <c r="KG136" s="25"/>
      <c r="KH136" s="25"/>
      <c r="KI136" s="25"/>
      <c r="KJ136" s="25"/>
      <c r="KK136" s="25"/>
      <c r="KL136" s="25"/>
      <c r="KM136" s="25"/>
      <c r="KN136" s="25"/>
      <c r="KO136" s="25"/>
      <c r="KP136" s="25"/>
      <c r="KQ136" s="25"/>
      <c r="KR136" s="25"/>
      <c r="KS136" s="25"/>
      <c r="KT136" s="25"/>
      <c r="KU136" s="25"/>
      <c r="KV136" s="25"/>
      <c r="KW136" s="25"/>
      <c r="KX136" s="25"/>
      <c r="KY136" s="25"/>
      <c r="KZ136" s="25"/>
      <c r="LA136" s="25"/>
      <c r="LB136" s="25"/>
      <c r="LC136" s="25"/>
      <c r="LD136" s="25"/>
      <c r="LE136" s="25"/>
      <c r="LF136" s="25"/>
      <c r="LG136" s="25"/>
      <c r="LH136" s="25"/>
      <c r="LI136" s="25"/>
      <c r="LJ136" s="25"/>
      <c r="LK136" s="25"/>
      <c r="LL136" s="25"/>
      <c r="LM136" s="25"/>
      <c r="LN136" s="25"/>
      <c r="LO136" s="25"/>
      <c r="LP136" s="25"/>
      <c r="LQ136" s="25"/>
      <c r="LR136" s="25"/>
      <c r="LS136" s="25"/>
      <c r="LT136" s="25"/>
      <c r="LU136" s="25"/>
      <c r="LV136" s="25"/>
      <c r="LW136" s="25"/>
      <c r="LX136" s="25"/>
      <c r="LY136" s="25"/>
      <c r="LZ136" s="25"/>
      <c r="MA136" s="25"/>
      <c r="MB136" s="25"/>
      <c r="MC136" s="25"/>
      <c r="MD136" s="25"/>
      <c r="ME136" s="25"/>
      <c r="MF136" s="25"/>
      <c r="MG136" s="25"/>
      <c r="MH136" s="25"/>
      <c r="MI136" s="25"/>
      <c r="MJ136" s="25"/>
      <c r="MK136" s="25"/>
      <c r="ML136" s="25"/>
      <c r="MM136" s="25"/>
      <c r="MN136" s="25"/>
      <c r="MO136" s="25"/>
      <c r="MP136" s="25"/>
      <c r="MQ136" s="25"/>
      <c r="MR136" s="25"/>
      <c r="MS136" s="25"/>
      <c r="MT136" s="25"/>
      <c r="MU136" s="25"/>
      <c r="MV136" s="25"/>
      <c r="MW136" s="25"/>
      <c r="MX136" s="25"/>
      <c r="MY136" s="25"/>
      <c r="MZ136" s="25"/>
      <c r="NA136" s="25"/>
      <c r="NB136" s="25"/>
      <c r="NC136" s="25"/>
      <c r="ND136" s="25"/>
      <c r="NE136" s="33"/>
    </row>
    <row r="137" spans="1:427" ht="13.5" customHeight="1" x14ac:dyDescent="0.2">
      <c r="A137" s="28"/>
      <c r="B137" s="22"/>
      <c r="C137" s="26"/>
      <c r="D137" s="44"/>
      <c r="E137" s="23"/>
      <c r="F137" s="24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  <c r="EX137" s="25"/>
      <c r="EY137" s="25"/>
      <c r="EZ137" s="25"/>
      <c r="FA137" s="25"/>
      <c r="FB137" s="25"/>
      <c r="FC137" s="25"/>
      <c r="FD137" s="25"/>
      <c r="FE137" s="25"/>
      <c r="FF137" s="25"/>
      <c r="FG137" s="25"/>
      <c r="FH137" s="25"/>
      <c r="FI137" s="25"/>
      <c r="FJ137" s="25"/>
      <c r="FK137" s="25"/>
      <c r="FL137" s="25"/>
      <c r="FM137" s="25"/>
      <c r="FN137" s="25"/>
      <c r="FO137" s="25"/>
      <c r="FP137" s="25"/>
      <c r="FQ137" s="25"/>
      <c r="FR137" s="25"/>
      <c r="FS137" s="25"/>
      <c r="FT137" s="25"/>
      <c r="FU137" s="25"/>
      <c r="FV137" s="25"/>
      <c r="FW137" s="25"/>
      <c r="FX137" s="25"/>
      <c r="FY137" s="25"/>
      <c r="FZ137" s="25"/>
      <c r="GA137" s="25"/>
      <c r="GB137" s="25"/>
      <c r="GC137" s="25"/>
      <c r="GD137" s="25"/>
      <c r="GE137" s="25"/>
      <c r="GF137" s="25"/>
      <c r="GG137" s="25"/>
      <c r="GH137" s="25"/>
      <c r="GI137" s="25"/>
      <c r="GJ137" s="25"/>
      <c r="GK137" s="25"/>
      <c r="GL137" s="25"/>
      <c r="GM137" s="25"/>
      <c r="GN137" s="25"/>
      <c r="GO137" s="25"/>
      <c r="GP137" s="25"/>
      <c r="GQ137" s="25"/>
      <c r="GR137" s="25"/>
      <c r="GS137" s="25"/>
      <c r="GT137" s="25"/>
      <c r="GU137" s="25"/>
      <c r="GV137" s="25"/>
      <c r="GW137" s="25"/>
      <c r="GX137" s="25"/>
      <c r="GY137" s="25"/>
      <c r="GZ137" s="25"/>
      <c r="HA137" s="25"/>
      <c r="HB137" s="25"/>
      <c r="HC137" s="25"/>
      <c r="HD137" s="25"/>
      <c r="HE137" s="25"/>
      <c r="HF137" s="25"/>
      <c r="HG137" s="25"/>
      <c r="HH137" s="25"/>
      <c r="HI137" s="25"/>
      <c r="HJ137" s="25"/>
      <c r="HK137" s="25"/>
      <c r="HL137" s="25"/>
      <c r="HM137" s="25"/>
      <c r="HN137" s="25"/>
      <c r="HO137" s="25"/>
      <c r="HP137" s="25"/>
      <c r="HQ137" s="25"/>
      <c r="HR137" s="25"/>
      <c r="HS137" s="25"/>
      <c r="HT137" s="25"/>
      <c r="HU137" s="25"/>
      <c r="HV137" s="25"/>
      <c r="HW137" s="25"/>
      <c r="HX137" s="25"/>
      <c r="HY137" s="25"/>
      <c r="HZ137" s="25"/>
      <c r="IA137" s="25"/>
      <c r="IB137" s="25"/>
      <c r="IC137" s="25"/>
      <c r="ID137" s="25"/>
      <c r="IE137" s="25"/>
      <c r="IF137" s="25"/>
      <c r="IG137" s="25"/>
      <c r="IH137" s="25"/>
      <c r="II137" s="25"/>
      <c r="IJ137" s="25"/>
      <c r="IK137" s="25"/>
      <c r="IL137" s="25"/>
      <c r="IM137" s="25"/>
      <c r="IN137" s="25"/>
      <c r="IO137" s="25"/>
      <c r="IP137" s="25"/>
      <c r="IQ137" s="25"/>
      <c r="IR137" s="25"/>
      <c r="IS137" s="25"/>
      <c r="IT137" s="25"/>
      <c r="IU137" s="25"/>
      <c r="IV137" s="25"/>
      <c r="IW137" s="25"/>
      <c r="IX137" s="25"/>
      <c r="IY137" s="25"/>
      <c r="IZ137" s="25"/>
      <c r="JA137" s="25"/>
      <c r="JB137" s="25"/>
      <c r="JC137" s="25"/>
      <c r="JD137" s="25"/>
      <c r="JE137" s="25"/>
      <c r="JF137" s="25"/>
      <c r="JG137" s="25"/>
      <c r="JH137" s="25"/>
      <c r="JI137" s="25"/>
      <c r="JJ137" s="25"/>
      <c r="JK137" s="25"/>
      <c r="JL137" s="25"/>
      <c r="JM137" s="25"/>
      <c r="JN137" s="25"/>
      <c r="JO137" s="25"/>
      <c r="JP137" s="25"/>
      <c r="JQ137" s="25"/>
      <c r="JR137" s="25"/>
      <c r="JS137" s="25"/>
      <c r="JT137" s="25"/>
      <c r="JU137" s="25"/>
      <c r="JV137" s="25"/>
      <c r="JW137" s="25"/>
      <c r="JX137" s="25"/>
      <c r="JY137" s="25"/>
      <c r="JZ137" s="25"/>
      <c r="KA137" s="25"/>
      <c r="KB137" s="25"/>
      <c r="KC137" s="25"/>
      <c r="KD137" s="25"/>
      <c r="KE137" s="25"/>
      <c r="KF137" s="25"/>
      <c r="KG137" s="25"/>
      <c r="KH137" s="25"/>
      <c r="KI137" s="25"/>
      <c r="KJ137" s="25"/>
      <c r="KK137" s="25"/>
      <c r="KL137" s="25"/>
      <c r="KM137" s="25"/>
      <c r="KN137" s="25"/>
      <c r="KO137" s="25"/>
      <c r="KP137" s="25"/>
      <c r="KQ137" s="25"/>
      <c r="KR137" s="25"/>
      <c r="KS137" s="25"/>
      <c r="KT137" s="25"/>
      <c r="KU137" s="25"/>
      <c r="KV137" s="25"/>
      <c r="KW137" s="25"/>
      <c r="KX137" s="25"/>
      <c r="KY137" s="25"/>
      <c r="KZ137" s="25"/>
      <c r="LA137" s="25"/>
      <c r="LB137" s="25"/>
      <c r="LC137" s="25"/>
      <c r="LD137" s="25"/>
      <c r="LE137" s="25"/>
      <c r="LF137" s="25"/>
      <c r="LG137" s="25"/>
      <c r="LH137" s="25"/>
      <c r="LI137" s="25"/>
      <c r="LJ137" s="25"/>
      <c r="LK137" s="25"/>
      <c r="LL137" s="25"/>
      <c r="LM137" s="25"/>
      <c r="LN137" s="25"/>
      <c r="LO137" s="25"/>
      <c r="LP137" s="25"/>
      <c r="LQ137" s="25"/>
      <c r="LR137" s="25"/>
      <c r="LS137" s="25"/>
      <c r="LT137" s="25"/>
      <c r="LU137" s="25"/>
      <c r="LV137" s="25"/>
      <c r="LW137" s="25"/>
      <c r="LX137" s="25"/>
      <c r="LY137" s="25"/>
      <c r="LZ137" s="25"/>
      <c r="MA137" s="25"/>
      <c r="MB137" s="25"/>
      <c r="MC137" s="25"/>
      <c r="MD137" s="25"/>
      <c r="ME137" s="25"/>
      <c r="MF137" s="25"/>
      <c r="MG137" s="25"/>
      <c r="MH137" s="25"/>
      <c r="MI137" s="25"/>
      <c r="MJ137" s="25"/>
      <c r="MK137" s="25"/>
      <c r="ML137" s="25"/>
      <c r="MM137" s="25"/>
      <c r="MN137" s="25"/>
      <c r="MO137" s="25"/>
      <c r="MP137" s="25"/>
      <c r="MQ137" s="25"/>
      <c r="MR137" s="25"/>
      <c r="MS137" s="25"/>
      <c r="MT137" s="25"/>
      <c r="MU137" s="25"/>
      <c r="MV137" s="25"/>
      <c r="MW137" s="25"/>
      <c r="MX137" s="25"/>
      <c r="MY137" s="25"/>
      <c r="MZ137" s="25"/>
      <c r="NA137" s="25"/>
      <c r="NB137" s="25"/>
      <c r="NC137" s="25"/>
      <c r="ND137" s="25"/>
      <c r="NE137" s="33"/>
      <c r="OG137" s="18">
        <v>1</v>
      </c>
      <c r="OH137" s="18">
        <v>43336</v>
      </c>
      <c r="OI137" s="18">
        <v>43388</v>
      </c>
      <c r="PJ137" s="20" t="s">
        <v>11</v>
      </c>
      <c r="PK137" s="20">
        <v>106</v>
      </c>
    </row>
    <row r="138" spans="1:427" ht="13.5" customHeight="1" x14ac:dyDescent="0.2">
      <c r="A138" s="28"/>
      <c r="B138" s="22"/>
      <c r="C138" s="26"/>
      <c r="D138" s="44"/>
      <c r="E138" s="23"/>
      <c r="F138" s="24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  <c r="EX138" s="25"/>
      <c r="EY138" s="25"/>
      <c r="EZ138" s="25"/>
      <c r="FA138" s="25"/>
      <c r="FB138" s="25"/>
      <c r="FC138" s="25"/>
      <c r="FD138" s="25"/>
      <c r="FE138" s="25"/>
      <c r="FF138" s="25"/>
      <c r="FG138" s="25"/>
      <c r="FH138" s="25"/>
      <c r="FI138" s="25"/>
      <c r="FJ138" s="25"/>
      <c r="FK138" s="25"/>
      <c r="FL138" s="25"/>
      <c r="FM138" s="25"/>
      <c r="FN138" s="25"/>
      <c r="FO138" s="25"/>
      <c r="FP138" s="25"/>
      <c r="FQ138" s="25"/>
      <c r="FR138" s="25"/>
      <c r="FS138" s="25"/>
      <c r="FT138" s="25"/>
      <c r="FU138" s="25"/>
      <c r="FV138" s="25"/>
      <c r="FW138" s="25"/>
      <c r="FX138" s="25"/>
      <c r="FY138" s="25"/>
      <c r="FZ138" s="25"/>
      <c r="GA138" s="25"/>
      <c r="GB138" s="25"/>
      <c r="GC138" s="25"/>
      <c r="GD138" s="25"/>
      <c r="GE138" s="25"/>
      <c r="GF138" s="25"/>
      <c r="GG138" s="25"/>
      <c r="GH138" s="25"/>
      <c r="GI138" s="25"/>
      <c r="GJ138" s="25"/>
      <c r="GK138" s="25"/>
      <c r="GL138" s="25"/>
      <c r="GM138" s="25"/>
      <c r="GN138" s="25"/>
      <c r="GO138" s="25"/>
      <c r="GP138" s="25"/>
      <c r="GQ138" s="25"/>
      <c r="GR138" s="25"/>
      <c r="GS138" s="25"/>
      <c r="GT138" s="25"/>
      <c r="GU138" s="25"/>
      <c r="GV138" s="25"/>
      <c r="GW138" s="25"/>
      <c r="GX138" s="25"/>
      <c r="GY138" s="25"/>
      <c r="GZ138" s="25"/>
      <c r="HA138" s="25"/>
      <c r="HB138" s="25"/>
      <c r="HC138" s="25"/>
      <c r="HD138" s="25"/>
      <c r="HE138" s="25"/>
      <c r="HF138" s="25"/>
      <c r="HG138" s="25"/>
      <c r="HH138" s="25"/>
      <c r="HI138" s="25"/>
      <c r="HJ138" s="25"/>
      <c r="HK138" s="25"/>
      <c r="HL138" s="25"/>
      <c r="HM138" s="25"/>
      <c r="HN138" s="25"/>
      <c r="HO138" s="25"/>
      <c r="HP138" s="25"/>
      <c r="HQ138" s="25"/>
      <c r="HR138" s="25"/>
      <c r="HS138" s="25"/>
      <c r="HT138" s="25"/>
      <c r="HU138" s="25"/>
      <c r="HV138" s="25"/>
      <c r="HW138" s="25"/>
      <c r="HX138" s="25"/>
      <c r="HY138" s="25"/>
      <c r="HZ138" s="25"/>
      <c r="IA138" s="25"/>
      <c r="IB138" s="25"/>
      <c r="IC138" s="25"/>
      <c r="ID138" s="25"/>
      <c r="IE138" s="25"/>
      <c r="IF138" s="25"/>
      <c r="IG138" s="25"/>
      <c r="IH138" s="25"/>
      <c r="II138" s="25"/>
      <c r="IJ138" s="25"/>
      <c r="IK138" s="25"/>
      <c r="IL138" s="25"/>
      <c r="IM138" s="25"/>
      <c r="IN138" s="25"/>
      <c r="IO138" s="25"/>
      <c r="IP138" s="25"/>
      <c r="IQ138" s="25"/>
      <c r="IR138" s="25"/>
      <c r="IS138" s="25"/>
      <c r="IT138" s="25"/>
      <c r="IU138" s="25"/>
      <c r="IV138" s="25"/>
      <c r="IW138" s="25"/>
      <c r="IX138" s="25"/>
      <c r="IY138" s="25"/>
      <c r="IZ138" s="25"/>
      <c r="JA138" s="25"/>
      <c r="JB138" s="25"/>
      <c r="JC138" s="25"/>
      <c r="JD138" s="25"/>
      <c r="JE138" s="25"/>
      <c r="JF138" s="25"/>
      <c r="JG138" s="25"/>
      <c r="JH138" s="25"/>
      <c r="JI138" s="25"/>
      <c r="JJ138" s="25"/>
      <c r="JK138" s="25"/>
      <c r="JL138" s="25"/>
      <c r="JM138" s="25"/>
      <c r="JN138" s="25"/>
      <c r="JO138" s="25"/>
      <c r="JP138" s="25"/>
      <c r="JQ138" s="25"/>
      <c r="JR138" s="25"/>
      <c r="JS138" s="25"/>
      <c r="JT138" s="25"/>
      <c r="JU138" s="25"/>
      <c r="JV138" s="25"/>
      <c r="JW138" s="25"/>
      <c r="JX138" s="25"/>
      <c r="JY138" s="25"/>
      <c r="JZ138" s="25"/>
      <c r="KA138" s="25"/>
      <c r="KB138" s="25"/>
      <c r="KC138" s="25"/>
      <c r="KD138" s="25"/>
      <c r="KE138" s="25"/>
      <c r="KF138" s="25"/>
      <c r="KG138" s="25"/>
      <c r="KH138" s="25"/>
      <c r="KI138" s="25"/>
      <c r="KJ138" s="25"/>
      <c r="KK138" s="25"/>
      <c r="KL138" s="25"/>
      <c r="KM138" s="25"/>
      <c r="KN138" s="25"/>
      <c r="KO138" s="25"/>
      <c r="KP138" s="25"/>
      <c r="KQ138" s="25"/>
      <c r="KR138" s="25"/>
      <c r="KS138" s="25"/>
      <c r="KT138" s="25"/>
      <c r="KU138" s="25"/>
      <c r="KV138" s="25"/>
      <c r="KW138" s="25"/>
      <c r="KX138" s="25"/>
      <c r="KY138" s="25"/>
      <c r="KZ138" s="25"/>
      <c r="LA138" s="25"/>
      <c r="LB138" s="25"/>
      <c r="LC138" s="25"/>
      <c r="LD138" s="25"/>
      <c r="LE138" s="25"/>
      <c r="LF138" s="25"/>
      <c r="LG138" s="25"/>
      <c r="LH138" s="25"/>
      <c r="LI138" s="25"/>
      <c r="LJ138" s="25"/>
      <c r="LK138" s="25"/>
      <c r="LL138" s="25"/>
      <c r="LM138" s="25"/>
      <c r="LN138" s="25"/>
      <c r="LO138" s="25"/>
      <c r="LP138" s="25"/>
      <c r="LQ138" s="25"/>
      <c r="LR138" s="25"/>
      <c r="LS138" s="25"/>
      <c r="LT138" s="25"/>
      <c r="LU138" s="25"/>
      <c r="LV138" s="25"/>
      <c r="LW138" s="25"/>
      <c r="LX138" s="25"/>
      <c r="LY138" s="25"/>
      <c r="LZ138" s="25"/>
      <c r="MA138" s="25"/>
      <c r="MB138" s="25"/>
      <c r="MC138" s="25"/>
      <c r="MD138" s="25"/>
      <c r="ME138" s="25"/>
      <c r="MF138" s="25"/>
      <c r="MG138" s="25"/>
      <c r="MH138" s="25"/>
      <c r="MI138" s="25"/>
      <c r="MJ138" s="25"/>
      <c r="MK138" s="25"/>
      <c r="ML138" s="25"/>
      <c r="MM138" s="25"/>
      <c r="MN138" s="25"/>
      <c r="MO138" s="25"/>
      <c r="MP138" s="25"/>
      <c r="MQ138" s="25"/>
      <c r="MR138" s="25"/>
      <c r="MS138" s="25"/>
      <c r="MT138" s="25"/>
      <c r="MU138" s="25"/>
      <c r="MV138" s="25"/>
      <c r="MW138" s="25"/>
      <c r="MX138" s="25"/>
      <c r="MY138" s="25"/>
      <c r="MZ138" s="25"/>
      <c r="NA138" s="25"/>
      <c r="NB138" s="25"/>
      <c r="NC138" s="25"/>
      <c r="ND138" s="25"/>
      <c r="NE138" s="33"/>
      <c r="OG138" s="18">
        <v>1</v>
      </c>
      <c r="OH138" s="18">
        <v>43196</v>
      </c>
      <c r="OI138" s="18">
        <v>43248</v>
      </c>
      <c r="PJ138" s="20" t="s">
        <v>11</v>
      </c>
      <c r="PK138" s="20">
        <v>106</v>
      </c>
    </row>
    <row r="139" spans="1:427" ht="0.75" customHeight="1" x14ac:dyDescent="0.2">
      <c r="A139" s="28"/>
      <c r="B139" s="22"/>
      <c r="C139" s="22"/>
      <c r="D139" s="44"/>
      <c r="E139" s="23"/>
      <c r="F139" s="24" t="s">
        <v>10</v>
      </c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  <c r="EX139" s="25"/>
      <c r="EY139" s="25"/>
      <c r="EZ139" s="25"/>
      <c r="FA139" s="25"/>
      <c r="FB139" s="25"/>
      <c r="FC139" s="25"/>
      <c r="FD139" s="25"/>
      <c r="FE139" s="25"/>
      <c r="FF139" s="25"/>
      <c r="FG139" s="25"/>
      <c r="FH139" s="25"/>
      <c r="FI139" s="25"/>
      <c r="FJ139" s="25"/>
      <c r="FK139" s="25"/>
      <c r="FL139" s="25"/>
      <c r="FM139" s="25"/>
      <c r="FN139" s="25"/>
      <c r="FO139" s="25"/>
      <c r="FP139" s="25"/>
      <c r="FQ139" s="25"/>
      <c r="FR139" s="25"/>
      <c r="FS139" s="25"/>
      <c r="FT139" s="25"/>
      <c r="FU139" s="25"/>
      <c r="FV139" s="25"/>
      <c r="FW139" s="25"/>
      <c r="FX139" s="25"/>
      <c r="FY139" s="25"/>
      <c r="FZ139" s="25"/>
      <c r="GA139" s="25"/>
      <c r="GB139" s="25"/>
      <c r="GC139" s="25"/>
      <c r="GD139" s="25"/>
      <c r="GE139" s="25"/>
      <c r="GF139" s="25"/>
      <c r="GG139" s="25"/>
      <c r="GH139" s="25"/>
      <c r="GI139" s="25"/>
      <c r="GJ139" s="25"/>
      <c r="GK139" s="25"/>
      <c r="GL139" s="25"/>
      <c r="GM139" s="25"/>
      <c r="GN139" s="25"/>
      <c r="GO139" s="25"/>
      <c r="GP139" s="25"/>
      <c r="GQ139" s="25"/>
      <c r="GR139" s="25"/>
      <c r="GS139" s="25"/>
      <c r="GT139" s="25"/>
      <c r="GU139" s="25"/>
      <c r="GV139" s="25"/>
      <c r="GW139" s="25"/>
      <c r="GX139" s="25"/>
      <c r="GY139" s="25"/>
      <c r="GZ139" s="25"/>
      <c r="HA139" s="25"/>
      <c r="HB139" s="25"/>
      <c r="HC139" s="25"/>
      <c r="HD139" s="25"/>
      <c r="HE139" s="25"/>
      <c r="HF139" s="25"/>
      <c r="HG139" s="25"/>
      <c r="HH139" s="25"/>
      <c r="HI139" s="25"/>
      <c r="HJ139" s="25"/>
      <c r="HK139" s="25"/>
      <c r="HL139" s="25"/>
      <c r="HM139" s="25"/>
      <c r="HN139" s="25"/>
      <c r="HO139" s="25"/>
      <c r="HP139" s="25"/>
      <c r="HQ139" s="25"/>
      <c r="HR139" s="25"/>
      <c r="HS139" s="25"/>
      <c r="HT139" s="25"/>
      <c r="HU139" s="25"/>
      <c r="HV139" s="25"/>
      <c r="HW139" s="25"/>
      <c r="HX139" s="25"/>
      <c r="HY139" s="25"/>
      <c r="HZ139" s="25"/>
      <c r="IA139" s="25"/>
      <c r="IB139" s="25"/>
      <c r="IC139" s="25"/>
      <c r="ID139" s="25"/>
      <c r="IE139" s="25"/>
      <c r="IF139" s="25"/>
      <c r="IG139" s="25"/>
      <c r="IH139" s="25"/>
      <c r="II139" s="25"/>
      <c r="IJ139" s="25"/>
      <c r="IK139" s="25"/>
      <c r="IL139" s="25"/>
      <c r="IM139" s="25"/>
      <c r="IN139" s="25"/>
      <c r="IO139" s="25"/>
      <c r="IP139" s="25"/>
      <c r="IQ139" s="25"/>
      <c r="IR139" s="25"/>
      <c r="IS139" s="25"/>
      <c r="IT139" s="25"/>
      <c r="IU139" s="25"/>
      <c r="IV139" s="25"/>
      <c r="IW139" s="25"/>
      <c r="IX139" s="25"/>
      <c r="IY139" s="25"/>
      <c r="IZ139" s="25"/>
      <c r="JA139" s="25"/>
      <c r="JB139" s="25"/>
      <c r="JC139" s="25"/>
      <c r="JD139" s="25"/>
      <c r="JE139" s="25"/>
      <c r="JF139" s="25"/>
      <c r="JG139" s="25"/>
      <c r="JH139" s="25"/>
      <c r="JI139" s="25"/>
      <c r="JJ139" s="25"/>
      <c r="JK139" s="25"/>
      <c r="JL139" s="25"/>
      <c r="JM139" s="25"/>
      <c r="JN139" s="25"/>
      <c r="JO139" s="25"/>
      <c r="JP139" s="25"/>
      <c r="JQ139" s="25"/>
      <c r="JR139" s="25"/>
      <c r="JS139" s="25"/>
      <c r="JT139" s="25"/>
      <c r="JU139" s="25"/>
      <c r="JV139" s="25"/>
      <c r="JW139" s="25"/>
      <c r="JX139" s="25"/>
      <c r="JY139" s="25"/>
      <c r="JZ139" s="25"/>
      <c r="KA139" s="25"/>
      <c r="KB139" s="25"/>
      <c r="KC139" s="25"/>
      <c r="KD139" s="25"/>
      <c r="KE139" s="25"/>
      <c r="KF139" s="25"/>
      <c r="KG139" s="25"/>
      <c r="KH139" s="25"/>
      <c r="KI139" s="25"/>
      <c r="KJ139" s="25"/>
      <c r="KK139" s="25"/>
      <c r="KL139" s="25"/>
      <c r="KM139" s="25"/>
      <c r="KN139" s="25"/>
      <c r="KO139" s="25"/>
      <c r="KP139" s="25"/>
      <c r="KQ139" s="25"/>
      <c r="KR139" s="25"/>
      <c r="KS139" s="25"/>
      <c r="KT139" s="25"/>
      <c r="KU139" s="25"/>
      <c r="KV139" s="25"/>
      <c r="KW139" s="25"/>
      <c r="KX139" s="25"/>
      <c r="KY139" s="25"/>
      <c r="KZ139" s="25"/>
      <c r="LA139" s="25"/>
      <c r="LB139" s="25"/>
      <c r="LC139" s="25"/>
      <c r="LD139" s="25"/>
      <c r="LE139" s="25"/>
      <c r="LF139" s="25"/>
      <c r="LG139" s="25"/>
      <c r="LH139" s="25"/>
      <c r="LI139" s="25"/>
      <c r="LJ139" s="25"/>
      <c r="LK139" s="25"/>
      <c r="LL139" s="25"/>
      <c r="LM139" s="25"/>
      <c r="LN139" s="25"/>
      <c r="LO139" s="25"/>
      <c r="LP139" s="25"/>
      <c r="LQ139" s="25"/>
      <c r="LR139" s="25"/>
      <c r="LS139" s="25"/>
      <c r="LT139" s="25"/>
      <c r="LU139" s="25"/>
      <c r="LV139" s="25"/>
      <c r="LW139" s="25"/>
      <c r="LX139" s="25"/>
      <c r="LY139" s="25"/>
      <c r="LZ139" s="25"/>
      <c r="MA139" s="25"/>
      <c r="MB139" s="25"/>
      <c r="MC139" s="25"/>
      <c r="MD139" s="25"/>
      <c r="ME139" s="25"/>
      <c r="MF139" s="25"/>
      <c r="MG139" s="25"/>
      <c r="MH139" s="25"/>
      <c r="MI139" s="25"/>
      <c r="MJ139" s="25"/>
      <c r="MK139" s="25"/>
      <c r="ML139" s="25"/>
      <c r="MM139" s="25"/>
      <c r="MN139" s="25"/>
      <c r="MO139" s="25"/>
      <c r="MP139" s="25"/>
      <c r="MQ139" s="25"/>
      <c r="MR139" s="25"/>
      <c r="MS139" s="25"/>
      <c r="MT139" s="25"/>
      <c r="MU139" s="25"/>
      <c r="MV139" s="25"/>
      <c r="MW139" s="25"/>
      <c r="MX139" s="25"/>
      <c r="MY139" s="25"/>
      <c r="MZ139" s="25"/>
      <c r="NA139" s="25"/>
      <c r="NB139" s="25"/>
      <c r="NC139" s="25"/>
      <c r="ND139" s="25"/>
      <c r="NE139" s="33"/>
    </row>
    <row r="140" spans="1:427" ht="13.5" customHeight="1" x14ac:dyDescent="0.2">
      <c r="A140" s="28"/>
      <c r="B140" s="22"/>
      <c r="C140" s="26"/>
      <c r="D140" s="44"/>
      <c r="E140" s="23"/>
      <c r="F140" s="24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  <c r="EX140" s="25"/>
      <c r="EY140" s="25"/>
      <c r="EZ140" s="25"/>
      <c r="FA140" s="25"/>
      <c r="FB140" s="25"/>
      <c r="FC140" s="25"/>
      <c r="FD140" s="25"/>
      <c r="FE140" s="25"/>
      <c r="FF140" s="25"/>
      <c r="FG140" s="25"/>
      <c r="FH140" s="25"/>
      <c r="FI140" s="25"/>
      <c r="FJ140" s="25"/>
      <c r="FK140" s="25"/>
      <c r="FL140" s="25"/>
      <c r="FM140" s="25"/>
      <c r="FN140" s="25"/>
      <c r="FO140" s="25"/>
      <c r="FP140" s="25"/>
      <c r="FQ140" s="25"/>
      <c r="FR140" s="25"/>
      <c r="FS140" s="25"/>
      <c r="FT140" s="25"/>
      <c r="FU140" s="25"/>
      <c r="FV140" s="25"/>
      <c r="FW140" s="25"/>
      <c r="FX140" s="25"/>
      <c r="FY140" s="25"/>
      <c r="FZ140" s="25"/>
      <c r="GA140" s="25"/>
      <c r="GB140" s="25"/>
      <c r="GC140" s="25"/>
      <c r="GD140" s="25"/>
      <c r="GE140" s="25"/>
      <c r="GF140" s="25"/>
      <c r="GG140" s="25"/>
      <c r="GH140" s="25"/>
      <c r="GI140" s="25"/>
      <c r="GJ140" s="25"/>
      <c r="GK140" s="25"/>
      <c r="GL140" s="25"/>
      <c r="GM140" s="25"/>
      <c r="GN140" s="25"/>
      <c r="GO140" s="25"/>
      <c r="GP140" s="25"/>
      <c r="GQ140" s="25"/>
      <c r="GR140" s="25"/>
      <c r="GS140" s="25"/>
      <c r="GT140" s="25"/>
      <c r="GU140" s="25"/>
      <c r="GV140" s="25"/>
      <c r="GW140" s="25"/>
      <c r="GX140" s="25"/>
      <c r="GY140" s="25"/>
      <c r="GZ140" s="25"/>
      <c r="HA140" s="25"/>
      <c r="HB140" s="25"/>
      <c r="HC140" s="25"/>
      <c r="HD140" s="25"/>
      <c r="HE140" s="25"/>
      <c r="HF140" s="25"/>
      <c r="HG140" s="25"/>
      <c r="HH140" s="25"/>
      <c r="HI140" s="25"/>
      <c r="HJ140" s="25"/>
      <c r="HK140" s="25"/>
      <c r="HL140" s="25"/>
      <c r="HM140" s="25"/>
      <c r="HN140" s="25"/>
      <c r="HO140" s="25"/>
      <c r="HP140" s="25"/>
      <c r="HQ140" s="25"/>
      <c r="HR140" s="25"/>
      <c r="HS140" s="25"/>
      <c r="HT140" s="25"/>
      <c r="HU140" s="25"/>
      <c r="HV140" s="25"/>
      <c r="HW140" s="25"/>
      <c r="HX140" s="25"/>
      <c r="HY140" s="25"/>
      <c r="HZ140" s="25"/>
      <c r="IA140" s="25"/>
      <c r="IB140" s="25"/>
      <c r="IC140" s="25"/>
      <c r="ID140" s="25"/>
      <c r="IE140" s="25"/>
      <c r="IF140" s="25"/>
      <c r="IG140" s="25"/>
      <c r="IH140" s="25"/>
      <c r="II140" s="25"/>
      <c r="IJ140" s="25"/>
      <c r="IK140" s="25"/>
      <c r="IL140" s="25"/>
      <c r="IM140" s="25"/>
      <c r="IN140" s="25"/>
      <c r="IO140" s="25"/>
      <c r="IP140" s="25"/>
      <c r="IQ140" s="25"/>
      <c r="IR140" s="25"/>
      <c r="IS140" s="25"/>
      <c r="IT140" s="25"/>
      <c r="IU140" s="25"/>
      <c r="IV140" s="25"/>
      <c r="IW140" s="25"/>
      <c r="IX140" s="25"/>
      <c r="IY140" s="25"/>
      <c r="IZ140" s="25"/>
      <c r="JA140" s="25"/>
      <c r="JB140" s="25"/>
      <c r="JC140" s="25"/>
      <c r="JD140" s="25"/>
      <c r="JE140" s="25"/>
      <c r="JF140" s="25"/>
      <c r="JG140" s="25"/>
      <c r="JH140" s="25"/>
      <c r="JI140" s="25"/>
      <c r="JJ140" s="25"/>
      <c r="JK140" s="25"/>
      <c r="JL140" s="25"/>
      <c r="JM140" s="25"/>
      <c r="JN140" s="25"/>
      <c r="JO140" s="25"/>
      <c r="JP140" s="25"/>
      <c r="JQ140" s="25"/>
      <c r="JR140" s="25"/>
      <c r="JS140" s="25"/>
      <c r="JT140" s="25"/>
      <c r="JU140" s="25"/>
      <c r="JV140" s="25"/>
      <c r="JW140" s="25"/>
      <c r="JX140" s="25"/>
      <c r="JY140" s="25"/>
      <c r="JZ140" s="25"/>
      <c r="KA140" s="25"/>
      <c r="KB140" s="25"/>
      <c r="KC140" s="25"/>
      <c r="KD140" s="25"/>
      <c r="KE140" s="25"/>
      <c r="KF140" s="25"/>
      <c r="KG140" s="25"/>
      <c r="KH140" s="25"/>
      <c r="KI140" s="25"/>
      <c r="KJ140" s="25"/>
      <c r="KK140" s="25"/>
      <c r="KL140" s="25"/>
      <c r="KM140" s="25"/>
      <c r="KN140" s="25"/>
      <c r="KO140" s="25"/>
      <c r="KP140" s="25"/>
      <c r="KQ140" s="25"/>
      <c r="KR140" s="25"/>
      <c r="KS140" s="25"/>
      <c r="KT140" s="25"/>
      <c r="KU140" s="25"/>
      <c r="KV140" s="25"/>
      <c r="KW140" s="25"/>
      <c r="KX140" s="25"/>
      <c r="KY140" s="25"/>
      <c r="KZ140" s="25"/>
      <c r="LA140" s="25"/>
      <c r="LB140" s="25"/>
      <c r="LC140" s="25"/>
      <c r="LD140" s="25"/>
      <c r="LE140" s="25"/>
      <c r="LF140" s="25"/>
      <c r="LG140" s="25"/>
      <c r="LH140" s="25"/>
      <c r="LI140" s="25"/>
      <c r="LJ140" s="25"/>
      <c r="LK140" s="25"/>
      <c r="LL140" s="25"/>
      <c r="LM140" s="25"/>
      <c r="LN140" s="25"/>
      <c r="LO140" s="25"/>
      <c r="LP140" s="25"/>
      <c r="LQ140" s="25"/>
      <c r="LR140" s="25"/>
      <c r="LS140" s="25"/>
      <c r="LT140" s="25"/>
      <c r="LU140" s="25"/>
      <c r="LV140" s="25"/>
      <c r="LW140" s="25"/>
      <c r="LX140" s="25"/>
      <c r="LY140" s="25"/>
      <c r="LZ140" s="25"/>
      <c r="MA140" s="25"/>
      <c r="MB140" s="25"/>
      <c r="MC140" s="25"/>
      <c r="MD140" s="25"/>
      <c r="ME140" s="25"/>
      <c r="MF140" s="25"/>
      <c r="MG140" s="25"/>
      <c r="MH140" s="25"/>
      <c r="MI140" s="25"/>
      <c r="MJ140" s="25"/>
      <c r="MK140" s="25"/>
      <c r="ML140" s="25"/>
      <c r="MM140" s="25"/>
      <c r="MN140" s="25"/>
      <c r="MO140" s="25"/>
      <c r="MP140" s="25"/>
      <c r="MQ140" s="25"/>
      <c r="MR140" s="25"/>
      <c r="MS140" s="25"/>
      <c r="MT140" s="25"/>
      <c r="MU140" s="25"/>
      <c r="MV140" s="25"/>
      <c r="MW140" s="25"/>
      <c r="MX140" s="25"/>
      <c r="MY140" s="25"/>
      <c r="MZ140" s="25"/>
      <c r="NA140" s="25"/>
      <c r="NB140" s="25"/>
      <c r="NC140" s="25"/>
      <c r="ND140" s="25"/>
      <c r="NE140" s="33"/>
      <c r="OG140" s="18">
        <v>1</v>
      </c>
      <c r="OH140" s="18">
        <v>43336</v>
      </c>
      <c r="OI140" s="18">
        <v>43388</v>
      </c>
      <c r="PJ140" s="20" t="s">
        <v>11</v>
      </c>
      <c r="PK140" s="20">
        <v>106</v>
      </c>
    </row>
    <row r="141" spans="1:427" ht="13.5" customHeight="1" x14ac:dyDescent="0.2">
      <c r="A141" s="28"/>
      <c r="B141" s="22"/>
      <c r="C141" s="26"/>
      <c r="D141" s="44"/>
      <c r="E141" s="23"/>
      <c r="F141" s="24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  <c r="EX141" s="25"/>
      <c r="EY141" s="25"/>
      <c r="EZ141" s="25"/>
      <c r="FA141" s="25"/>
      <c r="FB141" s="25"/>
      <c r="FC141" s="25"/>
      <c r="FD141" s="25"/>
      <c r="FE141" s="25"/>
      <c r="FF141" s="25"/>
      <c r="FG141" s="25"/>
      <c r="FH141" s="25"/>
      <c r="FI141" s="25"/>
      <c r="FJ141" s="25"/>
      <c r="FK141" s="25"/>
      <c r="FL141" s="25"/>
      <c r="FM141" s="25"/>
      <c r="FN141" s="25"/>
      <c r="FO141" s="25"/>
      <c r="FP141" s="25"/>
      <c r="FQ141" s="25"/>
      <c r="FR141" s="25"/>
      <c r="FS141" s="25"/>
      <c r="FT141" s="25"/>
      <c r="FU141" s="25"/>
      <c r="FV141" s="25"/>
      <c r="FW141" s="25"/>
      <c r="FX141" s="25"/>
      <c r="FY141" s="25"/>
      <c r="FZ141" s="25"/>
      <c r="GA141" s="25"/>
      <c r="GB141" s="25"/>
      <c r="GC141" s="25"/>
      <c r="GD141" s="25"/>
      <c r="GE141" s="25"/>
      <c r="GF141" s="25"/>
      <c r="GG141" s="25"/>
      <c r="GH141" s="25"/>
      <c r="GI141" s="25"/>
      <c r="GJ141" s="25"/>
      <c r="GK141" s="25"/>
      <c r="GL141" s="25"/>
      <c r="GM141" s="25"/>
      <c r="GN141" s="25"/>
      <c r="GO141" s="25"/>
      <c r="GP141" s="25"/>
      <c r="GQ141" s="25"/>
      <c r="GR141" s="25"/>
      <c r="GS141" s="25"/>
      <c r="GT141" s="25"/>
      <c r="GU141" s="25"/>
      <c r="GV141" s="25"/>
      <c r="GW141" s="25"/>
      <c r="GX141" s="25"/>
      <c r="GY141" s="25"/>
      <c r="GZ141" s="25"/>
      <c r="HA141" s="25"/>
      <c r="HB141" s="25"/>
      <c r="HC141" s="25"/>
      <c r="HD141" s="25"/>
      <c r="HE141" s="25"/>
      <c r="HF141" s="25"/>
      <c r="HG141" s="25"/>
      <c r="HH141" s="25"/>
      <c r="HI141" s="25"/>
      <c r="HJ141" s="25"/>
      <c r="HK141" s="25"/>
      <c r="HL141" s="25"/>
      <c r="HM141" s="25"/>
      <c r="HN141" s="25"/>
      <c r="HO141" s="25"/>
      <c r="HP141" s="25"/>
      <c r="HQ141" s="25"/>
      <c r="HR141" s="25"/>
      <c r="HS141" s="25"/>
      <c r="HT141" s="25"/>
      <c r="HU141" s="25"/>
      <c r="HV141" s="25"/>
      <c r="HW141" s="25"/>
      <c r="HX141" s="25"/>
      <c r="HY141" s="25"/>
      <c r="HZ141" s="25"/>
      <c r="IA141" s="25"/>
      <c r="IB141" s="25"/>
      <c r="IC141" s="25"/>
      <c r="ID141" s="25"/>
      <c r="IE141" s="25"/>
      <c r="IF141" s="25"/>
      <c r="IG141" s="25"/>
      <c r="IH141" s="25"/>
      <c r="II141" s="25"/>
      <c r="IJ141" s="25"/>
      <c r="IK141" s="25"/>
      <c r="IL141" s="25"/>
      <c r="IM141" s="25"/>
      <c r="IN141" s="25"/>
      <c r="IO141" s="25"/>
      <c r="IP141" s="25"/>
      <c r="IQ141" s="25"/>
      <c r="IR141" s="25"/>
      <c r="IS141" s="25"/>
      <c r="IT141" s="25"/>
      <c r="IU141" s="25"/>
      <c r="IV141" s="25"/>
      <c r="IW141" s="25"/>
      <c r="IX141" s="25"/>
      <c r="IY141" s="25"/>
      <c r="IZ141" s="25"/>
      <c r="JA141" s="25"/>
      <c r="JB141" s="25"/>
      <c r="JC141" s="25"/>
      <c r="JD141" s="25"/>
      <c r="JE141" s="25"/>
      <c r="JF141" s="25"/>
      <c r="JG141" s="25"/>
      <c r="JH141" s="25"/>
      <c r="JI141" s="25"/>
      <c r="JJ141" s="25"/>
      <c r="JK141" s="25"/>
      <c r="JL141" s="25"/>
      <c r="JM141" s="25"/>
      <c r="JN141" s="25"/>
      <c r="JO141" s="25"/>
      <c r="JP141" s="25"/>
      <c r="JQ141" s="25"/>
      <c r="JR141" s="25"/>
      <c r="JS141" s="25"/>
      <c r="JT141" s="25"/>
      <c r="JU141" s="25"/>
      <c r="JV141" s="25"/>
      <c r="JW141" s="25"/>
      <c r="JX141" s="25"/>
      <c r="JY141" s="25"/>
      <c r="JZ141" s="25"/>
      <c r="KA141" s="25"/>
      <c r="KB141" s="25"/>
      <c r="KC141" s="25"/>
      <c r="KD141" s="25"/>
      <c r="KE141" s="25"/>
      <c r="KF141" s="25"/>
      <c r="KG141" s="25"/>
      <c r="KH141" s="25"/>
      <c r="KI141" s="25"/>
      <c r="KJ141" s="25"/>
      <c r="KK141" s="25"/>
      <c r="KL141" s="25"/>
      <c r="KM141" s="25"/>
      <c r="KN141" s="25"/>
      <c r="KO141" s="25"/>
      <c r="KP141" s="25"/>
      <c r="KQ141" s="25"/>
      <c r="KR141" s="25"/>
      <c r="KS141" s="25"/>
      <c r="KT141" s="25"/>
      <c r="KU141" s="25"/>
      <c r="KV141" s="25"/>
      <c r="KW141" s="25"/>
      <c r="KX141" s="25"/>
      <c r="KY141" s="25"/>
      <c r="KZ141" s="25"/>
      <c r="LA141" s="25"/>
      <c r="LB141" s="25"/>
      <c r="LC141" s="25"/>
      <c r="LD141" s="25"/>
      <c r="LE141" s="25"/>
      <c r="LF141" s="25"/>
      <c r="LG141" s="25"/>
      <c r="LH141" s="25"/>
      <c r="LI141" s="25"/>
      <c r="LJ141" s="25"/>
      <c r="LK141" s="25"/>
      <c r="LL141" s="25"/>
      <c r="LM141" s="25"/>
      <c r="LN141" s="25"/>
      <c r="LO141" s="25"/>
      <c r="LP141" s="25"/>
      <c r="LQ141" s="25"/>
      <c r="LR141" s="25"/>
      <c r="LS141" s="25"/>
      <c r="LT141" s="25"/>
      <c r="LU141" s="25"/>
      <c r="LV141" s="25"/>
      <c r="LW141" s="25"/>
      <c r="LX141" s="25"/>
      <c r="LY141" s="25"/>
      <c r="LZ141" s="25"/>
      <c r="MA141" s="25"/>
      <c r="MB141" s="25"/>
      <c r="MC141" s="25"/>
      <c r="MD141" s="25"/>
      <c r="ME141" s="25"/>
      <c r="MF141" s="25"/>
      <c r="MG141" s="25"/>
      <c r="MH141" s="25"/>
      <c r="MI141" s="25"/>
      <c r="MJ141" s="25"/>
      <c r="MK141" s="25"/>
      <c r="ML141" s="25"/>
      <c r="MM141" s="25"/>
      <c r="MN141" s="25"/>
      <c r="MO141" s="25"/>
      <c r="MP141" s="25"/>
      <c r="MQ141" s="25"/>
      <c r="MR141" s="25"/>
      <c r="MS141" s="25"/>
      <c r="MT141" s="25"/>
      <c r="MU141" s="25"/>
      <c r="MV141" s="25"/>
      <c r="MW141" s="25"/>
      <c r="MX141" s="25"/>
      <c r="MY141" s="25"/>
      <c r="MZ141" s="25"/>
      <c r="NA141" s="25"/>
      <c r="NB141" s="25"/>
      <c r="NC141" s="25"/>
      <c r="ND141" s="25"/>
      <c r="NE141" s="33"/>
      <c r="OG141" s="18">
        <v>1</v>
      </c>
      <c r="OH141" s="18">
        <v>43196</v>
      </c>
      <c r="OI141" s="18">
        <v>43248</v>
      </c>
      <c r="PJ141" s="20" t="s">
        <v>11</v>
      </c>
      <c r="PK141" s="20">
        <v>106</v>
      </c>
    </row>
    <row r="142" spans="1:427" ht="0.75" customHeight="1" x14ac:dyDescent="0.2">
      <c r="A142" s="28"/>
      <c r="B142" s="22"/>
      <c r="C142" s="22"/>
      <c r="D142" s="44"/>
      <c r="E142" s="23"/>
      <c r="F142" s="24" t="s">
        <v>10</v>
      </c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  <c r="EX142" s="25"/>
      <c r="EY142" s="25"/>
      <c r="EZ142" s="25"/>
      <c r="FA142" s="25"/>
      <c r="FB142" s="25"/>
      <c r="FC142" s="25"/>
      <c r="FD142" s="25"/>
      <c r="FE142" s="25"/>
      <c r="FF142" s="25"/>
      <c r="FG142" s="25"/>
      <c r="FH142" s="25"/>
      <c r="FI142" s="25"/>
      <c r="FJ142" s="25"/>
      <c r="FK142" s="25"/>
      <c r="FL142" s="25"/>
      <c r="FM142" s="25"/>
      <c r="FN142" s="25"/>
      <c r="FO142" s="25"/>
      <c r="FP142" s="25"/>
      <c r="FQ142" s="25"/>
      <c r="FR142" s="25"/>
      <c r="FS142" s="25"/>
      <c r="FT142" s="25"/>
      <c r="FU142" s="25"/>
      <c r="FV142" s="25"/>
      <c r="FW142" s="25"/>
      <c r="FX142" s="25"/>
      <c r="FY142" s="25"/>
      <c r="FZ142" s="25"/>
      <c r="GA142" s="25"/>
      <c r="GB142" s="25"/>
      <c r="GC142" s="25"/>
      <c r="GD142" s="25"/>
      <c r="GE142" s="25"/>
      <c r="GF142" s="25"/>
      <c r="GG142" s="25"/>
      <c r="GH142" s="25"/>
      <c r="GI142" s="25"/>
      <c r="GJ142" s="25"/>
      <c r="GK142" s="25"/>
      <c r="GL142" s="25"/>
      <c r="GM142" s="25"/>
      <c r="GN142" s="25"/>
      <c r="GO142" s="25"/>
      <c r="GP142" s="25"/>
      <c r="GQ142" s="25"/>
      <c r="GR142" s="25"/>
      <c r="GS142" s="25"/>
      <c r="GT142" s="25"/>
      <c r="GU142" s="25"/>
      <c r="GV142" s="25"/>
      <c r="GW142" s="25"/>
      <c r="GX142" s="25"/>
      <c r="GY142" s="25"/>
      <c r="GZ142" s="25"/>
      <c r="HA142" s="25"/>
      <c r="HB142" s="25"/>
      <c r="HC142" s="25"/>
      <c r="HD142" s="25"/>
      <c r="HE142" s="25"/>
      <c r="HF142" s="25"/>
      <c r="HG142" s="25"/>
      <c r="HH142" s="25"/>
      <c r="HI142" s="25"/>
      <c r="HJ142" s="25"/>
      <c r="HK142" s="25"/>
      <c r="HL142" s="25"/>
      <c r="HM142" s="25"/>
      <c r="HN142" s="25"/>
      <c r="HO142" s="25"/>
      <c r="HP142" s="25"/>
      <c r="HQ142" s="25"/>
      <c r="HR142" s="25"/>
      <c r="HS142" s="25"/>
      <c r="HT142" s="25"/>
      <c r="HU142" s="25"/>
      <c r="HV142" s="25"/>
      <c r="HW142" s="25"/>
      <c r="HX142" s="25"/>
      <c r="HY142" s="25"/>
      <c r="HZ142" s="25"/>
      <c r="IA142" s="25"/>
      <c r="IB142" s="25"/>
      <c r="IC142" s="25"/>
      <c r="ID142" s="25"/>
      <c r="IE142" s="25"/>
      <c r="IF142" s="25"/>
      <c r="IG142" s="25"/>
      <c r="IH142" s="25"/>
      <c r="II142" s="25"/>
      <c r="IJ142" s="25"/>
      <c r="IK142" s="25"/>
      <c r="IL142" s="25"/>
      <c r="IM142" s="25"/>
      <c r="IN142" s="25"/>
      <c r="IO142" s="25"/>
      <c r="IP142" s="25"/>
      <c r="IQ142" s="25"/>
      <c r="IR142" s="25"/>
      <c r="IS142" s="25"/>
      <c r="IT142" s="25"/>
      <c r="IU142" s="25"/>
      <c r="IV142" s="25"/>
      <c r="IW142" s="25"/>
      <c r="IX142" s="25"/>
      <c r="IY142" s="25"/>
      <c r="IZ142" s="25"/>
      <c r="JA142" s="25"/>
      <c r="JB142" s="25"/>
      <c r="JC142" s="25"/>
      <c r="JD142" s="25"/>
      <c r="JE142" s="25"/>
      <c r="JF142" s="25"/>
      <c r="JG142" s="25"/>
      <c r="JH142" s="25"/>
      <c r="JI142" s="25"/>
      <c r="JJ142" s="25"/>
      <c r="JK142" s="25"/>
      <c r="JL142" s="25"/>
      <c r="JM142" s="25"/>
      <c r="JN142" s="25"/>
      <c r="JO142" s="25"/>
      <c r="JP142" s="25"/>
      <c r="JQ142" s="25"/>
      <c r="JR142" s="25"/>
      <c r="JS142" s="25"/>
      <c r="JT142" s="25"/>
      <c r="JU142" s="25"/>
      <c r="JV142" s="25"/>
      <c r="JW142" s="25"/>
      <c r="JX142" s="25"/>
      <c r="JY142" s="25"/>
      <c r="JZ142" s="25"/>
      <c r="KA142" s="25"/>
      <c r="KB142" s="25"/>
      <c r="KC142" s="25"/>
      <c r="KD142" s="25"/>
      <c r="KE142" s="25"/>
      <c r="KF142" s="25"/>
      <c r="KG142" s="25"/>
      <c r="KH142" s="25"/>
      <c r="KI142" s="25"/>
      <c r="KJ142" s="25"/>
      <c r="KK142" s="25"/>
      <c r="KL142" s="25"/>
      <c r="KM142" s="25"/>
      <c r="KN142" s="25"/>
      <c r="KO142" s="25"/>
      <c r="KP142" s="25"/>
      <c r="KQ142" s="25"/>
      <c r="KR142" s="25"/>
      <c r="KS142" s="25"/>
      <c r="KT142" s="25"/>
      <c r="KU142" s="25"/>
      <c r="KV142" s="25"/>
      <c r="KW142" s="25"/>
      <c r="KX142" s="25"/>
      <c r="KY142" s="25"/>
      <c r="KZ142" s="25"/>
      <c r="LA142" s="25"/>
      <c r="LB142" s="25"/>
      <c r="LC142" s="25"/>
      <c r="LD142" s="25"/>
      <c r="LE142" s="25"/>
      <c r="LF142" s="25"/>
      <c r="LG142" s="25"/>
      <c r="LH142" s="25"/>
      <c r="LI142" s="25"/>
      <c r="LJ142" s="25"/>
      <c r="LK142" s="25"/>
      <c r="LL142" s="25"/>
      <c r="LM142" s="25"/>
      <c r="LN142" s="25"/>
      <c r="LO142" s="25"/>
      <c r="LP142" s="25"/>
      <c r="LQ142" s="25"/>
      <c r="LR142" s="25"/>
      <c r="LS142" s="25"/>
      <c r="LT142" s="25"/>
      <c r="LU142" s="25"/>
      <c r="LV142" s="25"/>
      <c r="LW142" s="25"/>
      <c r="LX142" s="25"/>
      <c r="LY142" s="25"/>
      <c r="LZ142" s="25"/>
      <c r="MA142" s="25"/>
      <c r="MB142" s="25"/>
      <c r="MC142" s="25"/>
      <c r="MD142" s="25"/>
      <c r="ME142" s="25"/>
      <c r="MF142" s="25"/>
      <c r="MG142" s="25"/>
      <c r="MH142" s="25"/>
      <c r="MI142" s="25"/>
      <c r="MJ142" s="25"/>
      <c r="MK142" s="25"/>
      <c r="ML142" s="25"/>
      <c r="MM142" s="25"/>
      <c r="MN142" s="25"/>
      <c r="MO142" s="25"/>
      <c r="MP142" s="25"/>
      <c r="MQ142" s="25"/>
      <c r="MR142" s="25"/>
      <c r="MS142" s="25"/>
      <c r="MT142" s="25"/>
      <c r="MU142" s="25"/>
      <c r="MV142" s="25"/>
      <c r="MW142" s="25"/>
      <c r="MX142" s="25"/>
      <c r="MY142" s="25"/>
      <c r="MZ142" s="25"/>
      <c r="NA142" s="25"/>
      <c r="NB142" s="25"/>
      <c r="NC142" s="25"/>
      <c r="ND142" s="25"/>
      <c r="NE142" s="33"/>
    </row>
    <row r="143" spans="1:427" ht="13.5" customHeight="1" x14ac:dyDescent="0.2">
      <c r="A143" s="28"/>
      <c r="B143" s="22"/>
      <c r="C143" s="26"/>
      <c r="D143" s="44"/>
      <c r="E143" s="23"/>
      <c r="F143" s="24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  <c r="EX143" s="25"/>
      <c r="EY143" s="25"/>
      <c r="EZ143" s="25"/>
      <c r="FA143" s="25"/>
      <c r="FB143" s="25"/>
      <c r="FC143" s="25"/>
      <c r="FD143" s="25"/>
      <c r="FE143" s="25"/>
      <c r="FF143" s="25"/>
      <c r="FG143" s="25"/>
      <c r="FH143" s="25"/>
      <c r="FI143" s="25"/>
      <c r="FJ143" s="25"/>
      <c r="FK143" s="25"/>
      <c r="FL143" s="25"/>
      <c r="FM143" s="25"/>
      <c r="FN143" s="25"/>
      <c r="FO143" s="25"/>
      <c r="FP143" s="25"/>
      <c r="FQ143" s="25"/>
      <c r="FR143" s="25"/>
      <c r="FS143" s="25"/>
      <c r="FT143" s="25"/>
      <c r="FU143" s="25"/>
      <c r="FV143" s="25"/>
      <c r="FW143" s="25"/>
      <c r="FX143" s="25"/>
      <c r="FY143" s="25"/>
      <c r="FZ143" s="25"/>
      <c r="GA143" s="25"/>
      <c r="GB143" s="25"/>
      <c r="GC143" s="25"/>
      <c r="GD143" s="25"/>
      <c r="GE143" s="25"/>
      <c r="GF143" s="25"/>
      <c r="GG143" s="25"/>
      <c r="GH143" s="25"/>
      <c r="GI143" s="25"/>
      <c r="GJ143" s="25"/>
      <c r="GK143" s="25"/>
      <c r="GL143" s="25"/>
      <c r="GM143" s="25"/>
      <c r="GN143" s="25"/>
      <c r="GO143" s="25"/>
      <c r="GP143" s="25"/>
      <c r="GQ143" s="25"/>
      <c r="GR143" s="25"/>
      <c r="GS143" s="25"/>
      <c r="GT143" s="25"/>
      <c r="GU143" s="25"/>
      <c r="GV143" s="25"/>
      <c r="GW143" s="25"/>
      <c r="GX143" s="25"/>
      <c r="GY143" s="25"/>
      <c r="GZ143" s="25"/>
      <c r="HA143" s="25"/>
      <c r="HB143" s="25"/>
      <c r="HC143" s="25"/>
      <c r="HD143" s="25"/>
      <c r="HE143" s="25"/>
      <c r="HF143" s="25"/>
      <c r="HG143" s="25"/>
      <c r="HH143" s="25"/>
      <c r="HI143" s="25"/>
      <c r="HJ143" s="25"/>
      <c r="HK143" s="25"/>
      <c r="HL143" s="25"/>
      <c r="HM143" s="25"/>
      <c r="HN143" s="25"/>
      <c r="HO143" s="25"/>
      <c r="HP143" s="25"/>
      <c r="HQ143" s="25"/>
      <c r="HR143" s="25"/>
      <c r="HS143" s="25"/>
      <c r="HT143" s="25"/>
      <c r="HU143" s="25"/>
      <c r="HV143" s="25"/>
      <c r="HW143" s="25"/>
      <c r="HX143" s="25"/>
      <c r="HY143" s="25"/>
      <c r="HZ143" s="25"/>
      <c r="IA143" s="25"/>
      <c r="IB143" s="25"/>
      <c r="IC143" s="25"/>
      <c r="ID143" s="25"/>
      <c r="IE143" s="25"/>
      <c r="IF143" s="25"/>
      <c r="IG143" s="25"/>
      <c r="IH143" s="25"/>
      <c r="II143" s="25"/>
      <c r="IJ143" s="25"/>
      <c r="IK143" s="25"/>
      <c r="IL143" s="25"/>
      <c r="IM143" s="25"/>
      <c r="IN143" s="25"/>
      <c r="IO143" s="25"/>
      <c r="IP143" s="25"/>
      <c r="IQ143" s="25"/>
      <c r="IR143" s="25"/>
      <c r="IS143" s="25"/>
      <c r="IT143" s="25"/>
      <c r="IU143" s="25"/>
      <c r="IV143" s="25"/>
      <c r="IW143" s="25"/>
      <c r="IX143" s="25"/>
      <c r="IY143" s="25"/>
      <c r="IZ143" s="25"/>
      <c r="JA143" s="25"/>
      <c r="JB143" s="25"/>
      <c r="JC143" s="25"/>
      <c r="JD143" s="25"/>
      <c r="JE143" s="25"/>
      <c r="JF143" s="25"/>
      <c r="JG143" s="25"/>
      <c r="JH143" s="25"/>
      <c r="JI143" s="25"/>
      <c r="JJ143" s="25"/>
      <c r="JK143" s="25"/>
      <c r="JL143" s="25"/>
      <c r="JM143" s="25"/>
      <c r="JN143" s="25"/>
      <c r="JO143" s="25"/>
      <c r="JP143" s="25"/>
      <c r="JQ143" s="25"/>
      <c r="JR143" s="25"/>
      <c r="JS143" s="25"/>
      <c r="JT143" s="25"/>
      <c r="JU143" s="25"/>
      <c r="JV143" s="25"/>
      <c r="JW143" s="25"/>
      <c r="JX143" s="25"/>
      <c r="JY143" s="25"/>
      <c r="JZ143" s="25"/>
      <c r="KA143" s="25"/>
      <c r="KB143" s="25"/>
      <c r="KC143" s="25"/>
      <c r="KD143" s="25"/>
      <c r="KE143" s="25"/>
      <c r="KF143" s="25"/>
      <c r="KG143" s="25"/>
      <c r="KH143" s="25"/>
      <c r="KI143" s="25"/>
      <c r="KJ143" s="25"/>
      <c r="KK143" s="25"/>
      <c r="KL143" s="25"/>
      <c r="KM143" s="25"/>
      <c r="KN143" s="25"/>
      <c r="KO143" s="25"/>
      <c r="KP143" s="25"/>
      <c r="KQ143" s="25"/>
      <c r="KR143" s="25"/>
      <c r="KS143" s="25"/>
      <c r="KT143" s="25"/>
      <c r="KU143" s="25"/>
      <c r="KV143" s="25"/>
      <c r="KW143" s="25"/>
      <c r="KX143" s="25"/>
      <c r="KY143" s="25"/>
      <c r="KZ143" s="25"/>
      <c r="LA143" s="25"/>
      <c r="LB143" s="25"/>
      <c r="LC143" s="25"/>
      <c r="LD143" s="25"/>
      <c r="LE143" s="25"/>
      <c r="LF143" s="25"/>
      <c r="LG143" s="25"/>
      <c r="LH143" s="25"/>
      <c r="LI143" s="25"/>
      <c r="LJ143" s="25"/>
      <c r="LK143" s="25"/>
      <c r="LL143" s="25"/>
      <c r="LM143" s="25"/>
      <c r="LN143" s="25"/>
      <c r="LO143" s="25"/>
      <c r="LP143" s="25"/>
      <c r="LQ143" s="25"/>
      <c r="LR143" s="25"/>
      <c r="LS143" s="25"/>
      <c r="LT143" s="25"/>
      <c r="LU143" s="25"/>
      <c r="LV143" s="25"/>
      <c r="LW143" s="25"/>
      <c r="LX143" s="25"/>
      <c r="LY143" s="25"/>
      <c r="LZ143" s="25"/>
      <c r="MA143" s="25"/>
      <c r="MB143" s="25"/>
      <c r="MC143" s="25"/>
      <c r="MD143" s="25"/>
      <c r="ME143" s="25"/>
      <c r="MF143" s="25"/>
      <c r="MG143" s="25"/>
      <c r="MH143" s="25"/>
      <c r="MI143" s="25"/>
      <c r="MJ143" s="25"/>
      <c r="MK143" s="25"/>
      <c r="ML143" s="25"/>
      <c r="MM143" s="25"/>
      <c r="MN143" s="25"/>
      <c r="MO143" s="25"/>
      <c r="MP143" s="25"/>
      <c r="MQ143" s="25"/>
      <c r="MR143" s="25"/>
      <c r="MS143" s="25"/>
      <c r="MT143" s="25"/>
      <c r="MU143" s="25"/>
      <c r="MV143" s="25"/>
      <c r="MW143" s="25"/>
      <c r="MX143" s="25"/>
      <c r="MY143" s="25"/>
      <c r="MZ143" s="25"/>
      <c r="NA143" s="25"/>
      <c r="NB143" s="25"/>
      <c r="NC143" s="25"/>
      <c r="ND143" s="25"/>
      <c r="NE143" s="33"/>
      <c r="OG143" s="18">
        <v>1</v>
      </c>
      <c r="OH143" s="18">
        <v>43336</v>
      </c>
      <c r="OI143" s="18">
        <v>43388</v>
      </c>
      <c r="PJ143" s="20" t="s">
        <v>11</v>
      </c>
      <c r="PK143" s="20">
        <v>106</v>
      </c>
    </row>
    <row r="144" spans="1:427" ht="13.5" customHeight="1" x14ac:dyDescent="0.2">
      <c r="A144" s="28"/>
      <c r="B144" s="22"/>
      <c r="C144" s="26"/>
      <c r="D144" s="44"/>
      <c r="E144" s="23"/>
      <c r="F144" s="24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  <c r="EX144" s="25"/>
      <c r="EY144" s="25"/>
      <c r="EZ144" s="25"/>
      <c r="FA144" s="25"/>
      <c r="FB144" s="25"/>
      <c r="FC144" s="25"/>
      <c r="FD144" s="25"/>
      <c r="FE144" s="25"/>
      <c r="FF144" s="25"/>
      <c r="FG144" s="25"/>
      <c r="FH144" s="25"/>
      <c r="FI144" s="25"/>
      <c r="FJ144" s="25"/>
      <c r="FK144" s="25"/>
      <c r="FL144" s="25"/>
      <c r="FM144" s="25"/>
      <c r="FN144" s="25"/>
      <c r="FO144" s="25"/>
      <c r="FP144" s="25"/>
      <c r="FQ144" s="25"/>
      <c r="FR144" s="25"/>
      <c r="FS144" s="25"/>
      <c r="FT144" s="25"/>
      <c r="FU144" s="25"/>
      <c r="FV144" s="25"/>
      <c r="FW144" s="25"/>
      <c r="FX144" s="25"/>
      <c r="FY144" s="25"/>
      <c r="FZ144" s="25"/>
      <c r="GA144" s="25"/>
      <c r="GB144" s="25"/>
      <c r="GC144" s="25"/>
      <c r="GD144" s="25"/>
      <c r="GE144" s="25"/>
      <c r="GF144" s="25"/>
      <c r="GG144" s="25"/>
      <c r="GH144" s="25"/>
      <c r="GI144" s="25"/>
      <c r="GJ144" s="25"/>
      <c r="GK144" s="25"/>
      <c r="GL144" s="25"/>
      <c r="GM144" s="25"/>
      <c r="GN144" s="25"/>
      <c r="GO144" s="25"/>
      <c r="GP144" s="25"/>
      <c r="GQ144" s="25"/>
      <c r="GR144" s="25"/>
      <c r="GS144" s="25"/>
      <c r="GT144" s="25"/>
      <c r="GU144" s="25"/>
      <c r="GV144" s="25"/>
      <c r="GW144" s="25"/>
      <c r="GX144" s="25"/>
      <c r="GY144" s="25"/>
      <c r="GZ144" s="25"/>
      <c r="HA144" s="25"/>
      <c r="HB144" s="25"/>
      <c r="HC144" s="25"/>
      <c r="HD144" s="25"/>
      <c r="HE144" s="25"/>
      <c r="HF144" s="25"/>
      <c r="HG144" s="25"/>
      <c r="HH144" s="25"/>
      <c r="HI144" s="25"/>
      <c r="HJ144" s="25"/>
      <c r="HK144" s="25"/>
      <c r="HL144" s="25"/>
      <c r="HM144" s="25"/>
      <c r="HN144" s="25"/>
      <c r="HO144" s="25"/>
      <c r="HP144" s="25"/>
      <c r="HQ144" s="25"/>
      <c r="HR144" s="25"/>
      <c r="HS144" s="25"/>
      <c r="HT144" s="25"/>
      <c r="HU144" s="25"/>
      <c r="HV144" s="25"/>
      <c r="HW144" s="25"/>
      <c r="HX144" s="25"/>
      <c r="HY144" s="25"/>
      <c r="HZ144" s="25"/>
      <c r="IA144" s="25"/>
      <c r="IB144" s="25"/>
      <c r="IC144" s="25"/>
      <c r="ID144" s="25"/>
      <c r="IE144" s="25"/>
      <c r="IF144" s="25"/>
      <c r="IG144" s="25"/>
      <c r="IH144" s="25"/>
      <c r="II144" s="25"/>
      <c r="IJ144" s="25"/>
      <c r="IK144" s="25"/>
      <c r="IL144" s="25"/>
      <c r="IM144" s="25"/>
      <c r="IN144" s="25"/>
      <c r="IO144" s="25"/>
      <c r="IP144" s="25"/>
      <c r="IQ144" s="25"/>
      <c r="IR144" s="25"/>
      <c r="IS144" s="25"/>
      <c r="IT144" s="25"/>
      <c r="IU144" s="25"/>
      <c r="IV144" s="25"/>
      <c r="IW144" s="25"/>
      <c r="IX144" s="25"/>
      <c r="IY144" s="25"/>
      <c r="IZ144" s="25"/>
      <c r="JA144" s="25"/>
      <c r="JB144" s="25"/>
      <c r="JC144" s="25"/>
      <c r="JD144" s="25"/>
      <c r="JE144" s="25"/>
      <c r="JF144" s="25"/>
      <c r="JG144" s="25"/>
      <c r="JH144" s="25"/>
      <c r="JI144" s="25"/>
      <c r="JJ144" s="25"/>
      <c r="JK144" s="25"/>
      <c r="JL144" s="25"/>
      <c r="JM144" s="25"/>
      <c r="JN144" s="25"/>
      <c r="JO144" s="25"/>
      <c r="JP144" s="25"/>
      <c r="JQ144" s="25"/>
      <c r="JR144" s="25"/>
      <c r="JS144" s="25"/>
      <c r="JT144" s="25"/>
      <c r="JU144" s="25"/>
      <c r="JV144" s="25"/>
      <c r="JW144" s="25"/>
      <c r="JX144" s="25"/>
      <c r="JY144" s="25"/>
      <c r="JZ144" s="25"/>
      <c r="KA144" s="25"/>
      <c r="KB144" s="25"/>
      <c r="KC144" s="25"/>
      <c r="KD144" s="25"/>
      <c r="KE144" s="25"/>
      <c r="KF144" s="25"/>
      <c r="KG144" s="25"/>
      <c r="KH144" s="25"/>
      <c r="KI144" s="25"/>
      <c r="KJ144" s="25"/>
      <c r="KK144" s="25"/>
      <c r="KL144" s="25"/>
      <c r="KM144" s="25"/>
      <c r="KN144" s="25"/>
      <c r="KO144" s="25"/>
      <c r="KP144" s="25"/>
      <c r="KQ144" s="25"/>
      <c r="KR144" s="25"/>
      <c r="KS144" s="25"/>
      <c r="KT144" s="25"/>
      <c r="KU144" s="25"/>
      <c r="KV144" s="25"/>
      <c r="KW144" s="25"/>
      <c r="KX144" s="25"/>
      <c r="KY144" s="25"/>
      <c r="KZ144" s="25"/>
      <c r="LA144" s="25"/>
      <c r="LB144" s="25"/>
      <c r="LC144" s="25"/>
      <c r="LD144" s="25"/>
      <c r="LE144" s="25"/>
      <c r="LF144" s="25"/>
      <c r="LG144" s="25"/>
      <c r="LH144" s="25"/>
      <c r="LI144" s="25"/>
      <c r="LJ144" s="25"/>
      <c r="LK144" s="25"/>
      <c r="LL144" s="25"/>
      <c r="LM144" s="25"/>
      <c r="LN144" s="25"/>
      <c r="LO144" s="25"/>
      <c r="LP144" s="25"/>
      <c r="LQ144" s="25"/>
      <c r="LR144" s="25"/>
      <c r="LS144" s="25"/>
      <c r="LT144" s="25"/>
      <c r="LU144" s="25"/>
      <c r="LV144" s="25"/>
      <c r="LW144" s="25"/>
      <c r="LX144" s="25"/>
      <c r="LY144" s="25"/>
      <c r="LZ144" s="25"/>
      <c r="MA144" s="25"/>
      <c r="MB144" s="25"/>
      <c r="MC144" s="25"/>
      <c r="MD144" s="25"/>
      <c r="ME144" s="25"/>
      <c r="MF144" s="25"/>
      <c r="MG144" s="25"/>
      <c r="MH144" s="25"/>
      <c r="MI144" s="25"/>
      <c r="MJ144" s="25"/>
      <c r="MK144" s="25"/>
      <c r="ML144" s="25"/>
      <c r="MM144" s="25"/>
      <c r="MN144" s="25"/>
      <c r="MO144" s="25"/>
      <c r="MP144" s="25"/>
      <c r="MQ144" s="25"/>
      <c r="MR144" s="25"/>
      <c r="MS144" s="25"/>
      <c r="MT144" s="25"/>
      <c r="MU144" s="25"/>
      <c r="MV144" s="25"/>
      <c r="MW144" s="25"/>
      <c r="MX144" s="25"/>
      <c r="MY144" s="25"/>
      <c r="MZ144" s="25"/>
      <c r="NA144" s="25"/>
      <c r="NB144" s="25"/>
      <c r="NC144" s="25"/>
      <c r="ND144" s="25"/>
      <c r="NE144" s="33"/>
      <c r="OG144" s="18">
        <v>1</v>
      </c>
      <c r="OH144" s="18">
        <v>43196</v>
      </c>
      <c r="OI144" s="18">
        <v>43248</v>
      </c>
      <c r="PJ144" s="20" t="s">
        <v>11</v>
      </c>
      <c r="PK144" s="20">
        <v>106</v>
      </c>
    </row>
    <row r="145" spans="1:427" ht="0.75" customHeight="1" x14ac:dyDescent="0.2">
      <c r="A145" s="28"/>
      <c r="B145" s="22"/>
      <c r="C145" s="22"/>
      <c r="D145" s="44"/>
      <c r="E145" s="23"/>
      <c r="F145" s="24" t="s">
        <v>10</v>
      </c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  <c r="EX145" s="25"/>
      <c r="EY145" s="25"/>
      <c r="EZ145" s="25"/>
      <c r="FA145" s="25"/>
      <c r="FB145" s="25"/>
      <c r="FC145" s="25"/>
      <c r="FD145" s="25"/>
      <c r="FE145" s="25"/>
      <c r="FF145" s="25"/>
      <c r="FG145" s="25"/>
      <c r="FH145" s="25"/>
      <c r="FI145" s="25"/>
      <c r="FJ145" s="25"/>
      <c r="FK145" s="25"/>
      <c r="FL145" s="25"/>
      <c r="FM145" s="25"/>
      <c r="FN145" s="25"/>
      <c r="FO145" s="25"/>
      <c r="FP145" s="25"/>
      <c r="FQ145" s="25"/>
      <c r="FR145" s="25"/>
      <c r="FS145" s="25"/>
      <c r="FT145" s="25"/>
      <c r="FU145" s="25"/>
      <c r="FV145" s="25"/>
      <c r="FW145" s="25"/>
      <c r="FX145" s="25"/>
      <c r="FY145" s="25"/>
      <c r="FZ145" s="25"/>
      <c r="GA145" s="25"/>
      <c r="GB145" s="25"/>
      <c r="GC145" s="25"/>
      <c r="GD145" s="25"/>
      <c r="GE145" s="25"/>
      <c r="GF145" s="25"/>
      <c r="GG145" s="25"/>
      <c r="GH145" s="25"/>
      <c r="GI145" s="25"/>
      <c r="GJ145" s="25"/>
      <c r="GK145" s="25"/>
      <c r="GL145" s="25"/>
      <c r="GM145" s="25"/>
      <c r="GN145" s="25"/>
      <c r="GO145" s="25"/>
      <c r="GP145" s="25"/>
      <c r="GQ145" s="25"/>
      <c r="GR145" s="25"/>
      <c r="GS145" s="25"/>
      <c r="GT145" s="25"/>
      <c r="GU145" s="25"/>
      <c r="GV145" s="25"/>
      <c r="GW145" s="25"/>
      <c r="GX145" s="25"/>
      <c r="GY145" s="25"/>
      <c r="GZ145" s="25"/>
      <c r="HA145" s="25"/>
      <c r="HB145" s="25"/>
      <c r="HC145" s="25"/>
      <c r="HD145" s="25"/>
      <c r="HE145" s="25"/>
      <c r="HF145" s="25"/>
      <c r="HG145" s="25"/>
      <c r="HH145" s="25"/>
      <c r="HI145" s="25"/>
      <c r="HJ145" s="25"/>
      <c r="HK145" s="25"/>
      <c r="HL145" s="25"/>
      <c r="HM145" s="25"/>
      <c r="HN145" s="25"/>
      <c r="HO145" s="25"/>
      <c r="HP145" s="25"/>
      <c r="HQ145" s="25"/>
      <c r="HR145" s="25"/>
      <c r="HS145" s="25"/>
      <c r="HT145" s="25"/>
      <c r="HU145" s="25"/>
      <c r="HV145" s="25"/>
      <c r="HW145" s="25"/>
      <c r="HX145" s="25"/>
      <c r="HY145" s="25"/>
      <c r="HZ145" s="25"/>
      <c r="IA145" s="25"/>
      <c r="IB145" s="25"/>
      <c r="IC145" s="25"/>
      <c r="ID145" s="25"/>
      <c r="IE145" s="25"/>
      <c r="IF145" s="25"/>
      <c r="IG145" s="25"/>
      <c r="IH145" s="25"/>
      <c r="II145" s="25"/>
      <c r="IJ145" s="25"/>
      <c r="IK145" s="25"/>
      <c r="IL145" s="25"/>
      <c r="IM145" s="25"/>
      <c r="IN145" s="25"/>
      <c r="IO145" s="25"/>
      <c r="IP145" s="25"/>
      <c r="IQ145" s="25"/>
      <c r="IR145" s="25"/>
      <c r="IS145" s="25"/>
      <c r="IT145" s="25"/>
      <c r="IU145" s="25"/>
      <c r="IV145" s="25"/>
      <c r="IW145" s="25"/>
      <c r="IX145" s="25"/>
      <c r="IY145" s="25"/>
      <c r="IZ145" s="25"/>
      <c r="JA145" s="25"/>
      <c r="JB145" s="25"/>
      <c r="JC145" s="25"/>
      <c r="JD145" s="25"/>
      <c r="JE145" s="25"/>
      <c r="JF145" s="25"/>
      <c r="JG145" s="25"/>
      <c r="JH145" s="25"/>
      <c r="JI145" s="25"/>
      <c r="JJ145" s="25"/>
      <c r="JK145" s="25"/>
      <c r="JL145" s="25"/>
      <c r="JM145" s="25"/>
      <c r="JN145" s="25"/>
      <c r="JO145" s="25"/>
      <c r="JP145" s="25"/>
      <c r="JQ145" s="25"/>
      <c r="JR145" s="25"/>
      <c r="JS145" s="25"/>
      <c r="JT145" s="25"/>
      <c r="JU145" s="25"/>
      <c r="JV145" s="25"/>
      <c r="JW145" s="25"/>
      <c r="JX145" s="25"/>
      <c r="JY145" s="25"/>
      <c r="JZ145" s="25"/>
      <c r="KA145" s="25"/>
      <c r="KB145" s="25"/>
      <c r="KC145" s="25"/>
      <c r="KD145" s="25"/>
      <c r="KE145" s="25"/>
      <c r="KF145" s="25"/>
      <c r="KG145" s="25"/>
      <c r="KH145" s="25"/>
      <c r="KI145" s="25"/>
      <c r="KJ145" s="25"/>
      <c r="KK145" s="25"/>
      <c r="KL145" s="25"/>
      <c r="KM145" s="25"/>
      <c r="KN145" s="25"/>
      <c r="KO145" s="25"/>
      <c r="KP145" s="25"/>
      <c r="KQ145" s="25"/>
      <c r="KR145" s="25"/>
      <c r="KS145" s="25"/>
      <c r="KT145" s="25"/>
      <c r="KU145" s="25"/>
      <c r="KV145" s="25"/>
      <c r="KW145" s="25"/>
      <c r="KX145" s="25"/>
      <c r="KY145" s="25"/>
      <c r="KZ145" s="25"/>
      <c r="LA145" s="25"/>
      <c r="LB145" s="25"/>
      <c r="LC145" s="25"/>
      <c r="LD145" s="25"/>
      <c r="LE145" s="25"/>
      <c r="LF145" s="25"/>
      <c r="LG145" s="25"/>
      <c r="LH145" s="25"/>
      <c r="LI145" s="25"/>
      <c r="LJ145" s="25"/>
      <c r="LK145" s="25"/>
      <c r="LL145" s="25"/>
      <c r="LM145" s="25"/>
      <c r="LN145" s="25"/>
      <c r="LO145" s="25"/>
      <c r="LP145" s="25"/>
      <c r="LQ145" s="25"/>
      <c r="LR145" s="25"/>
      <c r="LS145" s="25"/>
      <c r="LT145" s="25"/>
      <c r="LU145" s="25"/>
      <c r="LV145" s="25"/>
      <c r="LW145" s="25"/>
      <c r="LX145" s="25"/>
      <c r="LY145" s="25"/>
      <c r="LZ145" s="25"/>
      <c r="MA145" s="25"/>
      <c r="MB145" s="25"/>
      <c r="MC145" s="25"/>
      <c r="MD145" s="25"/>
      <c r="ME145" s="25"/>
      <c r="MF145" s="25"/>
      <c r="MG145" s="25"/>
      <c r="MH145" s="25"/>
      <c r="MI145" s="25"/>
      <c r="MJ145" s="25"/>
      <c r="MK145" s="25"/>
      <c r="ML145" s="25"/>
      <c r="MM145" s="25"/>
      <c r="MN145" s="25"/>
      <c r="MO145" s="25"/>
      <c r="MP145" s="25"/>
      <c r="MQ145" s="25"/>
      <c r="MR145" s="25"/>
      <c r="MS145" s="25"/>
      <c r="MT145" s="25"/>
      <c r="MU145" s="25"/>
      <c r="MV145" s="25"/>
      <c r="MW145" s="25"/>
      <c r="MX145" s="25"/>
      <c r="MY145" s="25"/>
      <c r="MZ145" s="25"/>
      <c r="NA145" s="25"/>
      <c r="NB145" s="25"/>
      <c r="NC145" s="25"/>
      <c r="ND145" s="25"/>
      <c r="NE145" s="33"/>
    </row>
    <row r="146" spans="1:427" ht="13.5" customHeight="1" x14ac:dyDescent="0.2">
      <c r="A146" s="28"/>
      <c r="B146" s="22"/>
      <c r="C146" s="26"/>
      <c r="D146" s="44"/>
      <c r="E146" s="23"/>
      <c r="F146" s="24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  <c r="EX146" s="25"/>
      <c r="EY146" s="25"/>
      <c r="EZ146" s="25"/>
      <c r="FA146" s="25"/>
      <c r="FB146" s="25"/>
      <c r="FC146" s="25"/>
      <c r="FD146" s="25"/>
      <c r="FE146" s="25"/>
      <c r="FF146" s="25"/>
      <c r="FG146" s="25"/>
      <c r="FH146" s="25"/>
      <c r="FI146" s="25"/>
      <c r="FJ146" s="25"/>
      <c r="FK146" s="25"/>
      <c r="FL146" s="25"/>
      <c r="FM146" s="25"/>
      <c r="FN146" s="25"/>
      <c r="FO146" s="25"/>
      <c r="FP146" s="25"/>
      <c r="FQ146" s="25"/>
      <c r="FR146" s="25"/>
      <c r="FS146" s="25"/>
      <c r="FT146" s="25"/>
      <c r="FU146" s="25"/>
      <c r="FV146" s="25"/>
      <c r="FW146" s="25"/>
      <c r="FX146" s="25"/>
      <c r="FY146" s="25"/>
      <c r="FZ146" s="25"/>
      <c r="GA146" s="25"/>
      <c r="GB146" s="25"/>
      <c r="GC146" s="25"/>
      <c r="GD146" s="25"/>
      <c r="GE146" s="25"/>
      <c r="GF146" s="25"/>
      <c r="GG146" s="25"/>
      <c r="GH146" s="25"/>
      <c r="GI146" s="25"/>
      <c r="GJ146" s="25"/>
      <c r="GK146" s="25"/>
      <c r="GL146" s="25"/>
      <c r="GM146" s="25"/>
      <c r="GN146" s="25"/>
      <c r="GO146" s="25"/>
      <c r="GP146" s="25"/>
      <c r="GQ146" s="25"/>
      <c r="GR146" s="25"/>
      <c r="GS146" s="25"/>
      <c r="GT146" s="25"/>
      <c r="GU146" s="25"/>
      <c r="GV146" s="25"/>
      <c r="GW146" s="25"/>
      <c r="GX146" s="25"/>
      <c r="GY146" s="25"/>
      <c r="GZ146" s="25"/>
      <c r="HA146" s="25"/>
      <c r="HB146" s="25"/>
      <c r="HC146" s="25"/>
      <c r="HD146" s="25"/>
      <c r="HE146" s="25"/>
      <c r="HF146" s="25"/>
      <c r="HG146" s="25"/>
      <c r="HH146" s="25"/>
      <c r="HI146" s="25"/>
      <c r="HJ146" s="25"/>
      <c r="HK146" s="25"/>
      <c r="HL146" s="25"/>
      <c r="HM146" s="25"/>
      <c r="HN146" s="25"/>
      <c r="HO146" s="25"/>
      <c r="HP146" s="25"/>
      <c r="HQ146" s="25"/>
      <c r="HR146" s="25"/>
      <c r="HS146" s="25"/>
      <c r="HT146" s="25"/>
      <c r="HU146" s="25"/>
      <c r="HV146" s="25"/>
      <c r="HW146" s="25"/>
      <c r="HX146" s="25"/>
      <c r="HY146" s="25"/>
      <c r="HZ146" s="25"/>
      <c r="IA146" s="25"/>
      <c r="IB146" s="25"/>
      <c r="IC146" s="25"/>
      <c r="ID146" s="25"/>
      <c r="IE146" s="25"/>
      <c r="IF146" s="25"/>
      <c r="IG146" s="25"/>
      <c r="IH146" s="25"/>
      <c r="II146" s="25"/>
      <c r="IJ146" s="25"/>
      <c r="IK146" s="25"/>
      <c r="IL146" s="25"/>
      <c r="IM146" s="25"/>
      <c r="IN146" s="25"/>
      <c r="IO146" s="25"/>
      <c r="IP146" s="25"/>
      <c r="IQ146" s="25"/>
      <c r="IR146" s="25"/>
      <c r="IS146" s="25"/>
      <c r="IT146" s="25"/>
      <c r="IU146" s="25"/>
      <c r="IV146" s="25"/>
      <c r="IW146" s="25"/>
      <c r="IX146" s="25"/>
      <c r="IY146" s="25"/>
      <c r="IZ146" s="25"/>
      <c r="JA146" s="25"/>
      <c r="JB146" s="25"/>
      <c r="JC146" s="25"/>
      <c r="JD146" s="25"/>
      <c r="JE146" s="25"/>
      <c r="JF146" s="25"/>
      <c r="JG146" s="25"/>
      <c r="JH146" s="25"/>
      <c r="JI146" s="25"/>
      <c r="JJ146" s="25"/>
      <c r="JK146" s="25"/>
      <c r="JL146" s="25"/>
      <c r="JM146" s="25"/>
      <c r="JN146" s="25"/>
      <c r="JO146" s="25"/>
      <c r="JP146" s="25"/>
      <c r="JQ146" s="25"/>
      <c r="JR146" s="25"/>
      <c r="JS146" s="25"/>
      <c r="JT146" s="25"/>
      <c r="JU146" s="25"/>
      <c r="JV146" s="25"/>
      <c r="JW146" s="25"/>
      <c r="JX146" s="25"/>
      <c r="JY146" s="25"/>
      <c r="JZ146" s="25"/>
      <c r="KA146" s="25"/>
      <c r="KB146" s="25"/>
      <c r="KC146" s="25"/>
      <c r="KD146" s="25"/>
      <c r="KE146" s="25"/>
      <c r="KF146" s="25"/>
      <c r="KG146" s="25"/>
      <c r="KH146" s="25"/>
      <c r="KI146" s="25"/>
      <c r="KJ146" s="25"/>
      <c r="KK146" s="25"/>
      <c r="KL146" s="25"/>
      <c r="KM146" s="25"/>
      <c r="KN146" s="25"/>
      <c r="KO146" s="25"/>
      <c r="KP146" s="25"/>
      <c r="KQ146" s="25"/>
      <c r="KR146" s="25"/>
      <c r="KS146" s="25"/>
      <c r="KT146" s="25"/>
      <c r="KU146" s="25"/>
      <c r="KV146" s="25"/>
      <c r="KW146" s="25"/>
      <c r="KX146" s="25"/>
      <c r="KY146" s="25"/>
      <c r="KZ146" s="25"/>
      <c r="LA146" s="25"/>
      <c r="LB146" s="25"/>
      <c r="LC146" s="25"/>
      <c r="LD146" s="25"/>
      <c r="LE146" s="25"/>
      <c r="LF146" s="25"/>
      <c r="LG146" s="25"/>
      <c r="LH146" s="25"/>
      <c r="LI146" s="25"/>
      <c r="LJ146" s="25"/>
      <c r="LK146" s="25"/>
      <c r="LL146" s="25"/>
      <c r="LM146" s="25"/>
      <c r="LN146" s="25"/>
      <c r="LO146" s="25"/>
      <c r="LP146" s="25"/>
      <c r="LQ146" s="25"/>
      <c r="LR146" s="25"/>
      <c r="LS146" s="25"/>
      <c r="LT146" s="25"/>
      <c r="LU146" s="25"/>
      <c r="LV146" s="25"/>
      <c r="LW146" s="25"/>
      <c r="LX146" s="25"/>
      <c r="LY146" s="25"/>
      <c r="LZ146" s="25"/>
      <c r="MA146" s="25"/>
      <c r="MB146" s="25"/>
      <c r="MC146" s="25"/>
      <c r="MD146" s="25"/>
      <c r="ME146" s="25"/>
      <c r="MF146" s="25"/>
      <c r="MG146" s="25"/>
      <c r="MH146" s="25"/>
      <c r="MI146" s="25"/>
      <c r="MJ146" s="25"/>
      <c r="MK146" s="25"/>
      <c r="ML146" s="25"/>
      <c r="MM146" s="25"/>
      <c r="MN146" s="25"/>
      <c r="MO146" s="25"/>
      <c r="MP146" s="25"/>
      <c r="MQ146" s="25"/>
      <c r="MR146" s="25"/>
      <c r="MS146" s="25"/>
      <c r="MT146" s="25"/>
      <c r="MU146" s="25"/>
      <c r="MV146" s="25"/>
      <c r="MW146" s="25"/>
      <c r="MX146" s="25"/>
      <c r="MY146" s="25"/>
      <c r="MZ146" s="25"/>
      <c r="NA146" s="25"/>
      <c r="NB146" s="25"/>
      <c r="NC146" s="25"/>
      <c r="ND146" s="25"/>
      <c r="NE146" s="33"/>
      <c r="OG146" s="18">
        <v>1</v>
      </c>
      <c r="OH146" s="18">
        <v>43336</v>
      </c>
      <c r="OI146" s="18">
        <v>43388</v>
      </c>
      <c r="PJ146" s="20" t="s">
        <v>11</v>
      </c>
      <c r="PK146" s="20">
        <v>106</v>
      </c>
    </row>
    <row r="147" spans="1:427" ht="13.5" customHeight="1" x14ac:dyDescent="0.2">
      <c r="A147" s="28"/>
      <c r="B147" s="22"/>
      <c r="C147" s="26"/>
      <c r="D147" s="44"/>
      <c r="E147" s="23"/>
      <c r="F147" s="24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  <c r="EX147" s="25"/>
      <c r="EY147" s="25"/>
      <c r="EZ147" s="25"/>
      <c r="FA147" s="25"/>
      <c r="FB147" s="25"/>
      <c r="FC147" s="25"/>
      <c r="FD147" s="25"/>
      <c r="FE147" s="25"/>
      <c r="FF147" s="25"/>
      <c r="FG147" s="25"/>
      <c r="FH147" s="25"/>
      <c r="FI147" s="25"/>
      <c r="FJ147" s="25"/>
      <c r="FK147" s="25"/>
      <c r="FL147" s="25"/>
      <c r="FM147" s="25"/>
      <c r="FN147" s="25"/>
      <c r="FO147" s="25"/>
      <c r="FP147" s="25"/>
      <c r="FQ147" s="25"/>
      <c r="FR147" s="25"/>
      <c r="FS147" s="25"/>
      <c r="FT147" s="25"/>
      <c r="FU147" s="25"/>
      <c r="FV147" s="25"/>
      <c r="FW147" s="25"/>
      <c r="FX147" s="25"/>
      <c r="FY147" s="25"/>
      <c r="FZ147" s="25"/>
      <c r="GA147" s="25"/>
      <c r="GB147" s="25"/>
      <c r="GC147" s="25"/>
      <c r="GD147" s="25"/>
      <c r="GE147" s="25"/>
      <c r="GF147" s="25"/>
      <c r="GG147" s="25"/>
      <c r="GH147" s="25"/>
      <c r="GI147" s="25"/>
      <c r="GJ147" s="25"/>
      <c r="GK147" s="25"/>
      <c r="GL147" s="25"/>
      <c r="GM147" s="25"/>
      <c r="GN147" s="25"/>
      <c r="GO147" s="25"/>
      <c r="GP147" s="25"/>
      <c r="GQ147" s="25"/>
      <c r="GR147" s="25"/>
      <c r="GS147" s="25"/>
      <c r="GT147" s="25"/>
      <c r="GU147" s="25"/>
      <c r="GV147" s="25"/>
      <c r="GW147" s="25"/>
      <c r="GX147" s="25"/>
      <c r="GY147" s="25"/>
      <c r="GZ147" s="25"/>
      <c r="HA147" s="25"/>
      <c r="HB147" s="25"/>
      <c r="HC147" s="25"/>
      <c r="HD147" s="25"/>
      <c r="HE147" s="25"/>
      <c r="HF147" s="25"/>
      <c r="HG147" s="25"/>
      <c r="HH147" s="25"/>
      <c r="HI147" s="25"/>
      <c r="HJ147" s="25"/>
      <c r="HK147" s="25"/>
      <c r="HL147" s="25"/>
      <c r="HM147" s="25"/>
      <c r="HN147" s="25"/>
      <c r="HO147" s="25"/>
      <c r="HP147" s="25"/>
      <c r="HQ147" s="25"/>
      <c r="HR147" s="25"/>
      <c r="HS147" s="25"/>
      <c r="HT147" s="25"/>
      <c r="HU147" s="25"/>
      <c r="HV147" s="25"/>
      <c r="HW147" s="25"/>
      <c r="HX147" s="25"/>
      <c r="HY147" s="25"/>
      <c r="HZ147" s="25"/>
      <c r="IA147" s="25"/>
      <c r="IB147" s="25"/>
      <c r="IC147" s="25"/>
      <c r="ID147" s="25"/>
      <c r="IE147" s="25"/>
      <c r="IF147" s="25"/>
      <c r="IG147" s="25"/>
      <c r="IH147" s="25"/>
      <c r="II147" s="25"/>
      <c r="IJ147" s="25"/>
      <c r="IK147" s="25"/>
      <c r="IL147" s="25"/>
      <c r="IM147" s="25"/>
      <c r="IN147" s="25"/>
      <c r="IO147" s="25"/>
      <c r="IP147" s="25"/>
      <c r="IQ147" s="25"/>
      <c r="IR147" s="25"/>
      <c r="IS147" s="25"/>
      <c r="IT147" s="25"/>
      <c r="IU147" s="25"/>
      <c r="IV147" s="25"/>
      <c r="IW147" s="25"/>
      <c r="IX147" s="25"/>
      <c r="IY147" s="25"/>
      <c r="IZ147" s="25"/>
      <c r="JA147" s="25"/>
      <c r="JB147" s="25"/>
      <c r="JC147" s="25"/>
      <c r="JD147" s="25"/>
      <c r="JE147" s="25"/>
      <c r="JF147" s="25"/>
      <c r="JG147" s="25"/>
      <c r="JH147" s="25"/>
      <c r="JI147" s="25"/>
      <c r="JJ147" s="25"/>
      <c r="JK147" s="25"/>
      <c r="JL147" s="25"/>
      <c r="JM147" s="25"/>
      <c r="JN147" s="25"/>
      <c r="JO147" s="25"/>
      <c r="JP147" s="25"/>
      <c r="JQ147" s="25"/>
      <c r="JR147" s="25"/>
      <c r="JS147" s="25"/>
      <c r="JT147" s="25"/>
      <c r="JU147" s="25"/>
      <c r="JV147" s="25"/>
      <c r="JW147" s="25"/>
      <c r="JX147" s="25"/>
      <c r="JY147" s="25"/>
      <c r="JZ147" s="25"/>
      <c r="KA147" s="25"/>
      <c r="KB147" s="25"/>
      <c r="KC147" s="25"/>
      <c r="KD147" s="25"/>
      <c r="KE147" s="25"/>
      <c r="KF147" s="25"/>
      <c r="KG147" s="25"/>
      <c r="KH147" s="25"/>
      <c r="KI147" s="25"/>
      <c r="KJ147" s="25"/>
      <c r="KK147" s="25"/>
      <c r="KL147" s="25"/>
      <c r="KM147" s="25"/>
      <c r="KN147" s="25"/>
      <c r="KO147" s="25"/>
      <c r="KP147" s="25"/>
      <c r="KQ147" s="25"/>
      <c r="KR147" s="25"/>
      <c r="KS147" s="25"/>
      <c r="KT147" s="25"/>
      <c r="KU147" s="25"/>
      <c r="KV147" s="25"/>
      <c r="KW147" s="25"/>
      <c r="KX147" s="25"/>
      <c r="KY147" s="25"/>
      <c r="KZ147" s="25"/>
      <c r="LA147" s="25"/>
      <c r="LB147" s="25"/>
      <c r="LC147" s="25"/>
      <c r="LD147" s="25"/>
      <c r="LE147" s="25"/>
      <c r="LF147" s="25"/>
      <c r="LG147" s="25"/>
      <c r="LH147" s="25"/>
      <c r="LI147" s="25"/>
      <c r="LJ147" s="25"/>
      <c r="LK147" s="25"/>
      <c r="LL147" s="25"/>
      <c r="LM147" s="25"/>
      <c r="LN147" s="25"/>
      <c r="LO147" s="25"/>
      <c r="LP147" s="25"/>
      <c r="LQ147" s="25"/>
      <c r="LR147" s="25"/>
      <c r="LS147" s="25"/>
      <c r="LT147" s="25"/>
      <c r="LU147" s="25"/>
      <c r="LV147" s="25"/>
      <c r="LW147" s="25"/>
      <c r="LX147" s="25"/>
      <c r="LY147" s="25"/>
      <c r="LZ147" s="25"/>
      <c r="MA147" s="25"/>
      <c r="MB147" s="25"/>
      <c r="MC147" s="25"/>
      <c r="MD147" s="25"/>
      <c r="ME147" s="25"/>
      <c r="MF147" s="25"/>
      <c r="MG147" s="25"/>
      <c r="MH147" s="25"/>
      <c r="MI147" s="25"/>
      <c r="MJ147" s="25"/>
      <c r="MK147" s="25"/>
      <c r="ML147" s="25"/>
      <c r="MM147" s="25"/>
      <c r="MN147" s="25"/>
      <c r="MO147" s="25"/>
      <c r="MP147" s="25"/>
      <c r="MQ147" s="25"/>
      <c r="MR147" s="25"/>
      <c r="MS147" s="25"/>
      <c r="MT147" s="25"/>
      <c r="MU147" s="25"/>
      <c r="MV147" s="25"/>
      <c r="MW147" s="25"/>
      <c r="MX147" s="25"/>
      <c r="MY147" s="25"/>
      <c r="MZ147" s="25"/>
      <c r="NA147" s="25"/>
      <c r="NB147" s="25"/>
      <c r="NC147" s="25"/>
      <c r="ND147" s="25"/>
      <c r="NE147" s="33"/>
      <c r="OG147" s="18">
        <v>1</v>
      </c>
      <c r="OH147" s="18">
        <v>43196</v>
      </c>
      <c r="OI147" s="18">
        <v>43248</v>
      </c>
      <c r="PJ147" s="20" t="s">
        <v>11</v>
      </c>
      <c r="PK147" s="20">
        <v>106</v>
      </c>
    </row>
    <row r="148" spans="1:427" ht="0.75" customHeight="1" x14ac:dyDescent="0.2">
      <c r="A148" s="28"/>
      <c r="B148" s="22"/>
      <c r="C148" s="22"/>
      <c r="D148" s="44"/>
      <c r="E148" s="23"/>
      <c r="F148" s="24" t="s">
        <v>10</v>
      </c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  <c r="EX148" s="25"/>
      <c r="EY148" s="25"/>
      <c r="EZ148" s="25"/>
      <c r="FA148" s="25"/>
      <c r="FB148" s="25"/>
      <c r="FC148" s="25"/>
      <c r="FD148" s="25"/>
      <c r="FE148" s="25"/>
      <c r="FF148" s="25"/>
      <c r="FG148" s="25"/>
      <c r="FH148" s="25"/>
      <c r="FI148" s="25"/>
      <c r="FJ148" s="25"/>
      <c r="FK148" s="25"/>
      <c r="FL148" s="25"/>
      <c r="FM148" s="25"/>
      <c r="FN148" s="25"/>
      <c r="FO148" s="25"/>
      <c r="FP148" s="25"/>
      <c r="FQ148" s="25"/>
      <c r="FR148" s="25"/>
      <c r="FS148" s="25"/>
      <c r="FT148" s="25"/>
      <c r="FU148" s="25"/>
      <c r="FV148" s="25"/>
      <c r="FW148" s="25"/>
      <c r="FX148" s="25"/>
      <c r="FY148" s="25"/>
      <c r="FZ148" s="25"/>
      <c r="GA148" s="25"/>
      <c r="GB148" s="25"/>
      <c r="GC148" s="25"/>
      <c r="GD148" s="25"/>
      <c r="GE148" s="25"/>
      <c r="GF148" s="25"/>
      <c r="GG148" s="25"/>
      <c r="GH148" s="25"/>
      <c r="GI148" s="25"/>
      <c r="GJ148" s="25"/>
      <c r="GK148" s="25"/>
      <c r="GL148" s="25"/>
      <c r="GM148" s="25"/>
      <c r="GN148" s="25"/>
      <c r="GO148" s="25"/>
      <c r="GP148" s="25"/>
      <c r="GQ148" s="25"/>
      <c r="GR148" s="25"/>
      <c r="GS148" s="25"/>
      <c r="GT148" s="25"/>
      <c r="GU148" s="25"/>
      <c r="GV148" s="25"/>
      <c r="GW148" s="25"/>
      <c r="GX148" s="25"/>
      <c r="GY148" s="25"/>
      <c r="GZ148" s="25"/>
      <c r="HA148" s="25"/>
      <c r="HB148" s="25"/>
      <c r="HC148" s="25"/>
      <c r="HD148" s="25"/>
      <c r="HE148" s="25"/>
      <c r="HF148" s="25"/>
      <c r="HG148" s="25"/>
      <c r="HH148" s="25"/>
      <c r="HI148" s="25"/>
      <c r="HJ148" s="25"/>
      <c r="HK148" s="25"/>
      <c r="HL148" s="25"/>
      <c r="HM148" s="25"/>
      <c r="HN148" s="25"/>
      <c r="HO148" s="25"/>
      <c r="HP148" s="25"/>
      <c r="HQ148" s="25"/>
      <c r="HR148" s="25"/>
      <c r="HS148" s="25"/>
      <c r="HT148" s="25"/>
      <c r="HU148" s="25"/>
      <c r="HV148" s="25"/>
      <c r="HW148" s="25"/>
      <c r="HX148" s="25"/>
      <c r="HY148" s="25"/>
      <c r="HZ148" s="25"/>
      <c r="IA148" s="25"/>
      <c r="IB148" s="25"/>
      <c r="IC148" s="25"/>
      <c r="ID148" s="25"/>
      <c r="IE148" s="25"/>
      <c r="IF148" s="25"/>
      <c r="IG148" s="25"/>
      <c r="IH148" s="25"/>
      <c r="II148" s="25"/>
      <c r="IJ148" s="25"/>
      <c r="IK148" s="25"/>
      <c r="IL148" s="25"/>
      <c r="IM148" s="25"/>
      <c r="IN148" s="25"/>
      <c r="IO148" s="25"/>
      <c r="IP148" s="25"/>
      <c r="IQ148" s="25"/>
      <c r="IR148" s="25"/>
      <c r="IS148" s="25"/>
      <c r="IT148" s="25"/>
      <c r="IU148" s="25"/>
      <c r="IV148" s="25"/>
      <c r="IW148" s="25"/>
      <c r="IX148" s="25"/>
      <c r="IY148" s="25"/>
      <c r="IZ148" s="25"/>
      <c r="JA148" s="25"/>
      <c r="JB148" s="25"/>
      <c r="JC148" s="25"/>
      <c r="JD148" s="25"/>
      <c r="JE148" s="25"/>
      <c r="JF148" s="25"/>
      <c r="JG148" s="25"/>
      <c r="JH148" s="25"/>
      <c r="JI148" s="25"/>
      <c r="JJ148" s="25"/>
      <c r="JK148" s="25"/>
      <c r="JL148" s="25"/>
      <c r="JM148" s="25"/>
      <c r="JN148" s="25"/>
      <c r="JO148" s="25"/>
      <c r="JP148" s="25"/>
      <c r="JQ148" s="25"/>
      <c r="JR148" s="25"/>
      <c r="JS148" s="25"/>
      <c r="JT148" s="25"/>
      <c r="JU148" s="25"/>
      <c r="JV148" s="25"/>
      <c r="JW148" s="25"/>
      <c r="JX148" s="25"/>
      <c r="JY148" s="25"/>
      <c r="JZ148" s="25"/>
      <c r="KA148" s="25"/>
      <c r="KB148" s="25"/>
      <c r="KC148" s="25"/>
      <c r="KD148" s="25"/>
      <c r="KE148" s="25"/>
      <c r="KF148" s="25"/>
      <c r="KG148" s="25"/>
      <c r="KH148" s="25"/>
      <c r="KI148" s="25"/>
      <c r="KJ148" s="25"/>
      <c r="KK148" s="25"/>
      <c r="KL148" s="25"/>
      <c r="KM148" s="25"/>
      <c r="KN148" s="25"/>
      <c r="KO148" s="25"/>
      <c r="KP148" s="25"/>
      <c r="KQ148" s="25"/>
      <c r="KR148" s="25"/>
      <c r="KS148" s="25"/>
      <c r="KT148" s="25"/>
      <c r="KU148" s="25"/>
      <c r="KV148" s="25"/>
      <c r="KW148" s="25"/>
      <c r="KX148" s="25"/>
      <c r="KY148" s="25"/>
      <c r="KZ148" s="25"/>
      <c r="LA148" s="25"/>
      <c r="LB148" s="25"/>
      <c r="LC148" s="25"/>
      <c r="LD148" s="25"/>
      <c r="LE148" s="25"/>
      <c r="LF148" s="25"/>
      <c r="LG148" s="25"/>
      <c r="LH148" s="25"/>
      <c r="LI148" s="25"/>
      <c r="LJ148" s="25"/>
      <c r="LK148" s="25"/>
      <c r="LL148" s="25"/>
      <c r="LM148" s="25"/>
      <c r="LN148" s="25"/>
      <c r="LO148" s="25"/>
      <c r="LP148" s="25"/>
      <c r="LQ148" s="25"/>
      <c r="LR148" s="25"/>
      <c r="LS148" s="25"/>
      <c r="LT148" s="25"/>
      <c r="LU148" s="25"/>
      <c r="LV148" s="25"/>
      <c r="LW148" s="25"/>
      <c r="LX148" s="25"/>
      <c r="LY148" s="25"/>
      <c r="LZ148" s="25"/>
      <c r="MA148" s="25"/>
      <c r="MB148" s="25"/>
      <c r="MC148" s="25"/>
      <c r="MD148" s="25"/>
      <c r="ME148" s="25"/>
      <c r="MF148" s="25"/>
      <c r="MG148" s="25"/>
      <c r="MH148" s="25"/>
      <c r="MI148" s="25"/>
      <c r="MJ148" s="25"/>
      <c r="MK148" s="25"/>
      <c r="ML148" s="25"/>
      <c r="MM148" s="25"/>
      <c r="MN148" s="25"/>
      <c r="MO148" s="25"/>
      <c r="MP148" s="25"/>
      <c r="MQ148" s="25"/>
      <c r="MR148" s="25"/>
      <c r="MS148" s="25"/>
      <c r="MT148" s="25"/>
      <c r="MU148" s="25"/>
      <c r="MV148" s="25"/>
      <c r="MW148" s="25"/>
      <c r="MX148" s="25"/>
      <c r="MY148" s="25"/>
      <c r="MZ148" s="25"/>
      <c r="NA148" s="25"/>
      <c r="NB148" s="25"/>
      <c r="NC148" s="25"/>
      <c r="ND148" s="25"/>
      <c r="NE148" s="33"/>
    </row>
    <row r="149" spans="1:427" ht="13.5" customHeight="1" x14ac:dyDescent="0.2">
      <c r="A149" s="28"/>
      <c r="B149" s="22"/>
      <c r="C149" s="26"/>
      <c r="D149" s="44"/>
      <c r="E149" s="23"/>
      <c r="F149" s="24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  <c r="EX149" s="25"/>
      <c r="EY149" s="25"/>
      <c r="EZ149" s="25"/>
      <c r="FA149" s="25"/>
      <c r="FB149" s="25"/>
      <c r="FC149" s="25"/>
      <c r="FD149" s="25"/>
      <c r="FE149" s="25"/>
      <c r="FF149" s="25"/>
      <c r="FG149" s="25"/>
      <c r="FH149" s="25"/>
      <c r="FI149" s="25"/>
      <c r="FJ149" s="25"/>
      <c r="FK149" s="25"/>
      <c r="FL149" s="25"/>
      <c r="FM149" s="25"/>
      <c r="FN149" s="25"/>
      <c r="FO149" s="25"/>
      <c r="FP149" s="25"/>
      <c r="FQ149" s="25"/>
      <c r="FR149" s="25"/>
      <c r="FS149" s="25"/>
      <c r="FT149" s="25"/>
      <c r="FU149" s="25"/>
      <c r="FV149" s="25"/>
      <c r="FW149" s="25"/>
      <c r="FX149" s="25"/>
      <c r="FY149" s="25"/>
      <c r="FZ149" s="25"/>
      <c r="GA149" s="25"/>
      <c r="GB149" s="25"/>
      <c r="GC149" s="25"/>
      <c r="GD149" s="25"/>
      <c r="GE149" s="25"/>
      <c r="GF149" s="25"/>
      <c r="GG149" s="25"/>
      <c r="GH149" s="25"/>
      <c r="GI149" s="25"/>
      <c r="GJ149" s="25"/>
      <c r="GK149" s="25"/>
      <c r="GL149" s="25"/>
      <c r="GM149" s="25"/>
      <c r="GN149" s="25"/>
      <c r="GO149" s="25"/>
      <c r="GP149" s="25"/>
      <c r="GQ149" s="25"/>
      <c r="GR149" s="25"/>
      <c r="GS149" s="25"/>
      <c r="GT149" s="25"/>
      <c r="GU149" s="25"/>
      <c r="GV149" s="25"/>
      <c r="GW149" s="25"/>
      <c r="GX149" s="25"/>
      <c r="GY149" s="25"/>
      <c r="GZ149" s="25"/>
      <c r="HA149" s="25"/>
      <c r="HB149" s="25"/>
      <c r="HC149" s="25"/>
      <c r="HD149" s="25"/>
      <c r="HE149" s="25"/>
      <c r="HF149" s="25"/>
      <c r="HG149" s="25"/>
      <c r="HH149" s="25"/>
      <c r="HI149" s="25"/>
      <c r="HJ149" s="25"/>
      <c r="HK149" s="25"/>
      <c r="HL149" s="25"/>
      <c r="HM149" s="25"/>
      <c r="HN149" s="25"/>
      <c r="HO149" s="25"/>
      <c r="HP149" s="25"/>
      <c r="HQ149" s="25"/>
      <c r="HR149" s="25"/>
      <c r="HS149" s="25"/>
      <c r="HT149" s="25"/>
      <c r="HU149" s="25"/>
      <c r="HV149" s="25"/>
      <c r="HW149" s="25"/>
      <c r="HX149" s="25"/>
      <c r="HY149" s="25"/>
      <c r="HZ149" s="25"/>
      <c r="IA149" s="25"/>
      <c r="IB149" s="25"/>
      <c r="IC149" s="25"/>
      <c r="ID149" s="25"/>
      <c r="IE149" s="25"/>
      <c r="IF149" s="25"/>
      <c r="IG149" s="25"/>
      <c r="IH149" s="25"/>
      <c r="II149" s="25"/>
      <c r="IJ149" s="25"/>
      <c r="IK149" s="25"/>
      <c r="IL149" s="25"/>
      <c r="IM149" s="25"/>
      <c r="IN149" s="25"/>
      <c r="IO149" s="25"/>
      <c r="IP149" s="25"/>
      <c r="IQ149" s="25"/>
      <c r="IR149" s="25"/>
      <c r="IS149" s="25"/>
      <c r="IT149" s="25"/>
      <c r="IU149" s="25"/>
      <c r="IV149" s="25"/>
      <c r="IW149" s="25"/>
      <c r="IX149" s="25"/>
      <c r="IY149" s="25"/>
      <c r="IZ149" s="25"/>
      <c r="JA149" s="25"/>
      <c r="JB149" s="25"/>
      <c r="JC149" s="25"/>
      <c r="JD149" s="25"/>
      <c r="JE149" s="25"/>
      <c r="JF149" s="25"/>
      <c r="JG149" s="25"/>
      <c r="JH149" s="25"/>
      <c r="JI149" s="25"/>
      <c r="JJ149" s="25"/>
      <c r="JK149" s="25"/>
      <c r="JL149" s="25"/>
      <c r="JM149" s="25"/>
      <c r="JN149" s="25"/>
      <c r="JO149" s="25"/>
      <c r="JP149" s="25"/>
      <c r="JQ149" s="25"/>
      <c r="JR149" s="25"/>
      <c r="JS149" s="25"/>
      <c r="JT149" s="25"/>
      <c r="JU149" s="25"/>
      <c r="JV149" s="25"/>
      <c r="JW149" s="25"/>
      <c r="JX149" s="25"/>
      <c r="JY149" s="25"/>
      <c r="JZ149" s="25"/>
      <c r="KA149" s="25"/>
      <c r="KB149" s="25"/>
      <c r="KC149" s="25"/>
      <c r="KD149" s="25"/>
      <c r="KE149" s="25"/>
      <c r="KF149" s="25"/>
      <c r="KG149" s="25"/>
      <c r="KH149" s="25"/>
      <c r="KI149" s="25"/>
      <c r="KJ149" s="25"/>
      <c r="KK149" s="25"/>
      <c r="KL149" s="25"/>
      <c r="KM149" s="25"/>
      <c r="KN149" s="25"/>
      <c r="KO149" s="25"/>
      <c r="KP149" s="25"/>
      <c r="KQ149" s="25"/>
      <c r="KR149" s="25"/>
      <c r="KS149" s="25"/>
      <c r="KT149" s="25"/>
      <c r="KU149" s="25"/>
      <c r="KV149" s="25"/>
      <c r="KW149" s="25"/>
      <c r="KX149" s="25"/>
      <c r="KY149" s="25"/>
      <c r="KZ149" s="25"/>
      <c r="LA149" s="25"/>
      <c r="LB149" s="25"/>
      <c r="LC149" s="25"/>
      <c r="LD149" s="25"/>
      <c r="LE149" s="25"/>
      <c r="LF149" s="25"/>
      <c r="LG149" s="25"/>
      <c r="LH149" s="25"/>
      <c r="LI149" s="25"/>
      <c r="LJ149" s="25"/>
      <c r="LK149" s="25"/>
      <c r="LL149" s="25"/>
      <c r="LM149" s="25"/>
      <c r="LN149" s="25"/>
      <c r="LO149" s="25"/>
      <c r="LP149" s="25"/>
      <c r="LQ149" s="25"/>
      <c r="LR149" s="25"/>
      <c r="LS149" s="25"/>
      <c r="LT149" s="25"/>
      <c r="LU149" s="25"/>
      <c r="LV149" s="25"/>
      <c r="LW149" s="25"/>
      <c r="LX149" s="25"/>
      <c r="LY149" s="25"/>
      <c r="LZ149" s="25"/>
      <c r="MA149" s="25"/>
      <c r="MB149" s="25"/>
      <c r="MC149" s="25"/>
      <c r="MD149" s="25"/>
      <c r="ME149" s="25"/>
      <c r="MF149" s="25"/>
      <c r="MG149" s="25"/>
      <c r="MH149" s="25"/>
      <c r="MI149" s="25"/>
      <c r="MJ149" s="25"/>
      <c r="MK149" s="25"/>
      <c r="ML149" s="25"/>
      <c r="MM149" s="25"/>
      <c r="MN149" s="25"/>
      <c r="MO149" s="25"/>
      <c r="MP149" s="25"/>
      <c r="MQ149" s="25"/>
      <c r="MR149" s="25"/>
      <c r="MS149" s="25"/>
      <c r="MT149" s="25"/>
      <c r="MU149" s="25"/>
      <c r="MV149" s="25"/>
      <c r="MW149" s="25"/>
      <c r="MX149" s="25"/>
      <c r="MY149" s="25"/>
      <c r="MZ149" s="25"/>
      <c r="NA149" s="25"/>
      <c r="NB149" s="25"/>
      <c r="NC149" s="25"/>
      <c r="ND149" s="25"/>
      <c r="NE149" s="33"/>
      <c r="OG149" s="18">
        <v>1</v>
      </c>
      <c r="OH149" s="18">
        <v>43336</v>
      </c>
      <c r="OI149" s="18">
        <v>43388</v>
      </c>
      <c r="PJ149" s="20" t="s">
        <v>11</v>
      </c>
      <c r="PK149" s="20">
        <v>106</v>
      </c>
    </row>
    <row r="150" spans="1:427" ht="13.5" customHeight="1" x14ac:dyDescent="0.2">
      <c r="A150" s="28"/>
      <c r="B150" s="22"/>
      <c r="C150" s="26"/>
      <c r="D150" s="44"/>
      <c r="E150" s="23"/>
      <c r="F150" s="24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  <c r="EX150" s="25"/>
      <c r="EY150" s="25"/>
      <c r="EZ150" s="25"/>
      <c r="FA150" s="25"/>
      <c r="FB150" s="25"/>
      <c r="FC150" s="25"/>
      <c r="FD150" s="25"/>
      <c r="FE150" s="25"/>
      <c r="FF150" s="25"/>
      <c r="FG150" s="25"/>
      <c r="FH150" s="25"/>
      <c r="FI150" s="25"/>
      <c r="FJ150" s="25"/>
      <c r="FK150" s="25"/>
      <c r="FL150" s="25"/>
      <c r="FM150" s="25"/>
      <c r="FN150" s="25"/>
      <c r="FO150" s="25"/>
      <c r="FP150" s="25"/>
      <c r="FQ150" s="25"/>
      <c r="FR150" s="25"/>
      <c r="FS150" s="25"/>
      <c r="FT150" s="25"/>
      <c r="FU150" s="25"/>
      <c r="FV150" s="25"/>
      <c r="FW150" s="25"/>
      <c r="FX150" s="25"/>
      <c r="FY150" s="25"/>
      <c r="FZ150" s="25"/>
      <c r="GA150" s="25"/>
      <c r="GB150" s="25"/>
      <c r="GC150" s="25"/>
      <c r="GD150" s="25"/>
      <c r="GE150" s="25"/>
      <c r="GF150" s="25"/>
      <c r="GG150" s="25"/>
      <c r="GH150" s="25"/>
      <c r="GI150" s="25"/>
      <c r="GJ150" s="25"/>
      <c r="GK150" s="25"/>
      <c r="GL150" s="25"/>
      <c r="GM150" s="25"/>
      <c r="GN150" s="25"/>
      <c r="GO150" s="25"/>
      <c r="GP150" s="25"/>
      <c r="GQ150" s="25"/>
      <c r="GR150" s="25"/>
      <c r="GS150" s="25"/>
      <c r="GT150" s="25"/>
      <c r="GU150" s="25"/>
      <c r="GV150" s="25"/>
      <c r="GW150" s="25"/>
      <c r="GX150" s="25"/>
      <c r="GY150" s="25"/>
      <c r="GZ150" s="25"/>
      <c r="HA150" s="25"/>
      <c r="HB150" s="25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25"/>
      <c r="IR150" s="25"/>
      <c r="IS150" s="25"/>
      <c r="IT150" s="25"/>
      <c r="IU150" s="25"/>
      <c r="IV150" s="25"/>
      <c r="IW150" s="25"/>
      <c r="IX150" s="25"/>
      <c r="IY150" s="25"/>
      <c r="IZ150" s="25"/>
      <c r="JA150" s="25"/>
      <c r="JB150" s="25"/>
      <c r="JC150" s="25"/>
      <c r="JD150" s="25"/>
      <c r="JE150" s="25"/>
      <c r="JF150" s="25"/>
      <c r="JG150" s="25"/>
      <c r="JH150" s="25"/>
      <c r="JI150" s="25"/>
      <c r="JJ150" s="25"/>
      <c r="JK150" s="25"/>
      <c r="JL150" s="25"/>
      <c r="JM150" s="25"/>
      <c r="JN150" s="25"/>
      <c r="JO150" s="25"/>
      <c r="JP150" s="25"/>
      <c r="JQ150" s="25"/>
      <c r="JR150" s="25"/>
      <c r="JS150" s="25"/>
      <c r="JT150" s="25"/>
      <c r="JU150" s="25"/>
      <c r="JV150" s="25"/>
      <c r="JW150" s="25"/>
      <c r="JX150" s="25"/>
      <c r="JY150" s="25"/>
      <c r="JZ150" s="25"/>
      <c r="KA150" s="25"/>
      <c r="KB150" s="25"/>
      <c r="KC150" s="25"/>
      <c r="KD150" s="25"/>
      <c r="KE150" s="25"/>
      <c r="KF150" s="25"/>
      <c r="KG150" s="25"/>
      <c r="KH150" s="25"/>
      <c r="KI150" s="25"/>
      <c r="KJ150" s="25"/>
      <c r="KK150" s="25"/>
      <c r="KL150" s="25"/>
      <c r="KM150" s="25"/>
      <c r="KN150" s="25"/>
      <c r="KO150" s="25"/>
      <c r="KP150" s="25"/>
      <c r="KQ150" s="25"/>
      <c r="KR150" s="25"/>
      <c r="KS150" s="25"/>
      <c r="KT150" s="25"/>
      <c r="KU150" s="25"/>
      <c r="KV150" s="25"/>
      <c r="KW150" s="25"/>
      <c r="KX150" s="25"/>
      <c r="KY150" s="25"/>
      <c r="KZ150" s="25"/>
      <c r="LA150" s="25"/>
      <c r="LB150" s="25"/>
      <c r="LC150" s="25"/>
      <c r="LD150" s="25"/>
      <c r="LE150" s="25"/>
      <c r="LF150" s="25"/>
      <c r="LG150" s="25"/>
      <c r="LH150" s="25"/>
      <c r="LI150" s="25"/>
      <c r="LJ150" s="25"/>
      <c r="LK150" s="25"/>
      <c r="LL150" s="25"/>
      <c r="LM150" s="25"/>
      <c r="LN150" s="25"/>
      <c r="LO150" s="25"/>
      <c r="LP150" s="25"/>
      <c r="LQ150" s="25"/>
      <c r="LR150" s="25"/>
      <c r="LS150" s="25"/>
      <c r="LT150" s="25"/>
      <c r="LU150" s="25"/>
      <c r="LV150" s="25"/>
      <c r="LW150" s="25"/>
      <c r="LX150" s="25"/>
      <c r="LY150" s="25"/>
      <c r="LZ150" s="25"/>
      <c r="MA150" s="25"/>
      <c r="MB150" s="25"/>
      <c r="MC150" s="25"/>
      <c r="MD150" s="25"/>
      <c r="ME150" s="25"/>
      <c r="MF150" s="25"/>
      <c r="MG150" s="25"/>
      <c r="MH150" s="25"/>
      <c r="MI150" s="25"/>
      <c r="MJ150" s="25"/>
      <c r="MK150" s="25"/>
      <c r="ML150" s="25"/>
      <c r="MM150" s="25"/>
      <c r="MN150" s="25"/>
      <c r="MO150" s="25"/>
      <c r="MP150" s="25"/>
      <c r="MQ150" s="25"/>
      <c r="MR150" s="25"/>
      <c r="MS150" s="25"/>
      <c r="MT150" s="25"/>
      <c r="MU150" s="25"/>
      <c r="MV150" s="25"/>
      <c r="MW150" s="25"/>
      <c r="MX150" s="25"/>
      <c r="MY150" s="25"/>
      <c r="MZ150" s="25"/>
      <c r="NA150" s="25"/>
      <c r="NB150" s="25"/>
      <c r="NC150" s="25"/>
      <c r="ND150" s="25"/>
      <c r="NE150" s="33"/>
      <c r="OG150" s="18">
        <v>1</v>
      </c>
      <c r="OH150" s="18">
        <v>43196</v>
      </c>
      <c r="OI150" s="18">
        <v>43248</v>
      </c>
      <c r="PJ150" s="20" t="s">
        <v>11</v>
      </c>
      <c r="PK150" s="20">
        <v>106</v>
      </c>
    </row>
    <row r="151" spans="1:427" ht="0.75" customHeight="1" x14ac:dyDescent="0.2">
      <c r="A151" s="28"/>
      <c r="B151" s="22"/>
      <c r="C151" s="22"/>
      <c r="D151" s="44"/>
      <c r="E151" s="23"/>
      <c r="F151" s="24" t="s">
        <v>10</v>
      </c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  <c r="EX151" s="25"/>
      <c r="EY151" s="25"/>
      <c r="EZ151" s="25"/>
      <c r="FA151" s="25"/>
      <c r="FB151" s="25"/>
      <c r="FC151" s="25"/>
      <c r="FD151" s="25"/>
      <c r="FE151" s="25"/>
      <c r="FF151" s="25"/>
      <c r="FG151" s="25"/>
      <c r="FH151" s="25"/>
      <c r="FI151" s="25"/>
      <c r="FJ151" s="25"/>
      <c r="FK151" s="25"/>
      <c r="FL151" s="25"/>
      <c r="FM151" s="25"/>
      <c r="FN151" s="25"/>
      <c r="FO151" s="25"/>
      <c r="FP151" s="25"/>
      <c r="FQ151" s="25"/>
      <c r="FR151" s="25"/>
      <c r="FS151" s="25"/>
      <c r="FT151" s="25"/>
      <c r="FU151" s="25"/>
      <c r="FV151" s="25"/>
      <c r="FW151" s="25"/>
      <c r="FX151" s="25"/>
      <c r="FY151" s="25"/>
      <c r="FZ151" s="25"/>
      <c r="GA151" s="25"/>
      <c r="GB151" s="25"/>
      <c r="GC151" s="25"/>
      <c r="GD151" s="25"/>
      <c r="GE151" s="25"/>
      <c r="GF151" s="25"/>
      <c r="GG151" s="25"/>
      <c r="GH151" s="25"/>
      <c r="GI151" s="25"/>
      <c r="GJ151" s="25"/>
      <c r="GK151" s="25"/>
      <c r="GL151" s="25"/>
      <c r="GM151" s="25"/>
      <c r="GN151" s="25"/>
      <c r="GO151" s="25"/>
      <c r="GP151" s="25"/>
      <c r="GQ151" s="25"/>
      <c r="GR151" s="25"/>
      <c r="GS151" s="25"/>
      <c r="GT151" s="25"/>
      <c r="GU151" s="25"/>
      <c r="GV151" s="25"/>
      <c r="GW151" s="25"/>
      <c r="GX151" s="25"/>
      <c r="GY151" s="25"/>
      <c r="GZ151" s="25"/>
      <c r="HA151" s="25"/>
      <c r="HB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25"/>
      <c r="IR151" s="25"/>
      <c r="IS151" s="25"/>
      <c r="IT151" s="25"/>
      <c r="IU151" s="25"/>
      <c r="IV151" s="25"/>
      <c r="IW151" s="25"/>
      <c r="IX151" s="25"/>
      <c r="IY151" s="25"/>
      <c r="IZ151" s="25"/>
      <c r="JA151" s="25"/>
      <c r="JB151" s="25"/>
      <c r="JC151" s="25"/>
      <c r="JD151" s="25"/>
      <c r="JE151" s="25"/>
      <c r="JF151" s="25"/>
      <c r="JG151" s="25"/>
      <c r="JH151" s="25"/>
      <c r="JI151" s="25"/>
      <c r="JJ151" s="25"/>
      <c r="JK151" s="25"/>
      <c r="JL151" s="25"/>
      <c r="JM151" s="25"/>
      <c r="JN151" s="25"/>
      <c r="JO151" s="25"/>
      <c r="JP151" s="25"/>
      <c r="JQ151" s="25"/>
      <c r="JR151" s="25"/>
      <c r="JS151" s="25"/>
      <c r="JT151" s="25"/>
      <c r="JU151" s="25"/>
      <c r="JV151" s="25"/>
      <c r="JW151" s="25"/>
      <c r="JX151" s="25"/>
      <c r="JY151" s="25"/>
      <c r="JZ151" s="25"/>
      <c r="KA151" s="25"/>
      <c r="KB151" s="25"/>
      <c r="KC151" s="25"/>
      <c r="KD151" s="25"/>
      <c r="KE151" s="25"/>
      <c r="KF151" s="25"/>
      <c r="KG151" s="25"/>
      <c r="KH151" s="25"/>
      <c r="KI151" s="25"/>
      <c r="KJ151" s="25"/>
      <c r="KK151" s="25"/>
      <c r="KL151" s="25"/>
      <c r="KM151" s="25"/>
      <c r="KN151" s="25"/>
      <c r="KO151" s="25"/>
      <c r="KP151" s="25"/>
      <c r="KQ151" s="25"/>
      <c r="KR151" s="25"/>
      <c r="KS151" s="25"/>
      <c r="KT151" s="25"/>
      <c r="KU151" s="25"/>
      <c r="KV151" s="25"/>
      <c r="KW151" s="25"/>
      <c r="KX151" s="25"/>
      <c r="KY151" s="25"/>
      <c r="KZ151" s="25"/>
      <c r="LA151" s="25"/>
      <c r="LB151" s="25"/>
      <c r="LC151" s="25"/>
      <c r="LD151" s="25"/>
      <c r="LE151" s="25"/>
      <c r="LF151" s="25"/>
      <c r="LG151" s="25"/>
      <c r="LH151" s="25"/>
      <c r="LI151" s="25"/>
      <c r="LJ151" s="25"/>
      <c r="LK151" s="25"/>
      <c r="LL151" s="25"/>
      <c r="LM151" s="25"/>
      <c r="LN151" s="25"/>
      <c r="LO151" s="25"/>
      <c r="LP151" s="25"/>
      <c r="LQ151" s="25"/>
      <c r="LR151" s="25"/>
      <c r="LS151" s="25"/>
      <c r="LT151" s="25"/>
      <c r="LU151" s="25"/>
      <c r="LV151" s="25"/>
      <c r="LW151" s="25"/>
      <c r="LX151" s="25"/>
      <c r="LY151" s="25"/>
      <c r="LZ151" s="25"/>
      <c r="MA151" s="25"/>
      <c r="MB151" s="25"/>
      <c r="MC151" s="25"/>
      <c r="MD151" s="25"/>
      <c r="ME151" s="25"/>
      <c r="MF151" s="25"/>
      <c r="MG151" s="25"/>
      <c r="MH151" s="25"/>
      <c r="MI151" s="25"/>
      <c r="MJ151" s="25"/>
      <c r="MK151" s="25"/>
      <c r="ML151" s="25"/>
      <c r="MM151" s="25"/>
      <c r="MN151" s="25"/>
      <c r="MO151" s="25"/>
      <c r="MP151" s="25"/>
      <c r="MQ151" s="25"/>
      <c r="MR151" s="25"/>
      <c r="MS151" s="25"/>
      <c r="MT151" s="25"/>
      <c r="MU151" s="25"/>
      <c r="MV151" s="25"/>
      <c r="MW151" s="25"/>
      <c r="MX151" s="25"/>
      <c r="MY151" s="25"/>
      <c r="MZ151" s="25"/>
      <c r="NA151" s="25"/>
      <c r="NB151" s="25"/>
      <c r="NC151" s="25"/>
      <c r="ND151" s="25"/>
      <c r="NE151" s="33"/>
    </row>
    <row r="152" spans="1:427" ht="13.5" customHeight="1" x14ac:dyDescent="0.2">
      <c r="A152" s="28"/>
      <c r="B152" s="22"/>
      <c r="C152" s="26"/>
      <c r="D152" s="44"/>
      <c r="E152" s="23"/>
      <c r="F152" s="24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  <c r="EX152" s="25"/>
      <c r="EY152" s="25"/>
      <c r="EZ152" s="25"/>
      <c r="FA152" s="25"/>
      <c r="FB152" s="25"/>
      <c r="FC152" s="25"/>
      <c r="FD152" s="25"/>
      <c r="FE152" s="25"/>
      <c r="FF152" s="25"/>
      <c r="FG152" s="25"/>
      <c r="FH152" s="25"/>
      <c r="FI152" s="25"/>
      <c r="FJ152" s="25"/>
      <c r="FK152" s="25"/>
      <c r="FL152" s="25"/>
      <c r="FM152" s="25"/>
      <c r="FN152" s="25"/>
      <c r="FO152" s="25"/>
      <c r="FP152" s="25"/>
      <c r="FQ152" s="25"/>
      <c r="FR152" s="25"/>
      <c r="FS152" s="25"/>
      <c r="FT152" s="25"/>
      <c r="FU152" s="25"/>
      <c r="FV152" s="25"/>
      <c r="FW152" s="25"/>
      <c r="FX152" s="25"/>
      <c r="FY152" s="25"/>
      <c r="FZ152" s="25"/>
      <c r="GA152" s="25"/>
      <c r="GB152" s="25"/>
      <c r="GC152" s="25"/>
      <c r="GD152" s="25"/>
      <c r="GE152" s="25"/>
      <c r="GF152" s="25"/>
      <c r="GG152" s="25"/>
      <c r="GH152" s="25"/>
      <c r="GI152" s="25"/>
      <c r="GJ152" s="25"/>
      <c r="GK152" s="25"/>
      <c r="GL152" s="25"/>
      <c r="GM152" s="25"/>
      <c r="GN152" s="25"/>
      <c r="GO152" s="25"/>
      <c r="GP152" s="25"/>
      <c r="GQ152" s="25"/>
      <c r="GR152" s="25"/>
      <c r="GS152" s="25"/>
      <c r="GT152" s="25"/>
      <c r="GU152" s="25"/>
      <c r="GV152" s="25"/>
      <c r="GW152" s="25"/>
      <c r="GX152" s="25"/>
      <c r="GY152" s="25"/>
      <c r="GZ152" s="25"/>
      <c r="HA152" s="25"/>
      <c r="HB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25"/>
      <c r="IR152" s="25"/>
      <c r="IS152" s="25"/>
      <c r="IT152" s="25"/>
      <c r="IU152" s="25"/>
      <c r="IV152" s="25"/>
      <c r="IW152" s="25"/>
      <c r="IX152" s="25"/>
      <c r="IY152" s="25"/>
      <c r="IZ152" s="25"/>
      <c r="JA152" s="25"/>
      <c r="JB152" s="25"/>
      <c r="JC152" s="25"/>
      <c r="JD152" s="25"/>
      <c r="JE152" s="25"/>
      <c r="JF152" s="25"/>
      <c r="JG152" s="25"/>
      <c r="JH152" s="25"/>
      <c r="JI152" s="25"/>
      <c r="JJ152" s="25"/>
      <c r="JK152" s="25"/>
      <c r="JL152" s="25"/>
      <c r="JM152" s="25"/>
      <c r="JN152" s="25"/>
      <c r="JO152" s="25"/>
      <c r="JP152" s="25"/>
      <c r="JQ152" s="25"/>
      <c r="JR152" s="25"/>
      <c r="JS152" s="25"/>
      <c r="JT152" s="25"/>
      <c r="JU152" s="25"/>
      <c r="JV152" s="25"/>
      <c r="JW152" s="25"/>
      <c r="JX152" s="25"/>
      <c r="JY152" s="25"/>
      <c r="JZ152" s="25"/>
      <c r="KA152" s="25"/>
      <c r="KB152" s="25"/>
      <c r="KC152" s="25"/>
      <c r="KD152" s="25"/>
      <c r="KE152" s="25"/>
      <c r="KF152" s="25"/>
      <c r="KG152" s="25"/>
      <c r="KH152" s="25"/>
      <c r="KI152" s="25"/>
      <c r="KJ152" s="25"/>
      <c r="KK152" s="25"/>
      <c r="KL152" s="25"/>
      <c r="KM152" s="25"/>
      <c r="KN152" s="25"/>
      <c r="KO152" s="25"/>
      <c r="KP152" s="25"/>
      <c r="KQ152" s="25"/>
      <c r="KR152" s="25"/>
      <c r="KS152" s="25"/>
      <c r="KT152" s="25"/>
      <c r="KU152" s="25"/>
      <c r="KV152" s="25"/>
      <c r="KW152" s="25"/>
      <c r="KX152" s="25"/>
      <c r="KY152" s="25"/>
      <c r="KZ152" s="25"/>
      <c r="LA152" s="25"/>
      <c r="LB152" s="25"/>
      <c r="LC152" s="25"/>
      <c r="LD152" s="25"/>
      <c r="LE152" s="25"/>
      <c r="LF152" s="25"/>
      <c r="LG152" s="25"/>
      <c r="LH152" s="25"/>
      <c r="LI152" s="25"/>
      <c r="LJ152" s="25"/>
      <c r="LK152" s="25"/>
      <c r="LL152" s="25"/>
      <c r="LM152" s="25"/>
      <c r="LN152" s="25"/>
      <c r="LO152" s="25"/>
      <c r="LP152" s="25"/>
      <c r="LQ152" s="25"/>
      <c r="LR152" s="25"/>
      <c r="LS152" s="25"/>
      <c r="LT152" s="25"/>
      <c r="LU152" s="25"/>
      <c r="LV152" s="25"/>
      <c r="LW152" s="25"/>
      <c r="LX152" s="25"/>
      <c r="LY152" s="25"/>
      <c r="LZ152" s="25"/>
      <c r="MA152" s="25"/>
      <c r="MB152" s="25"/>
      <c r="MC152" s="25"/>
      <c r="MD152" s="25"/>
      <c r="ME152" s="25"/>
      <c r="MF152" s="25"/>
      <c r="MG152" s="25"/>
      <c r="MH152" s="25"/>
      <c r="MI152" s="25"/>
      <c r="MJ152" s="25"/>
      <c r="MK152" s="25"/>
      <c r="ML152" s="25"/>
      <c r="MM152" s="25"/>
      <c r="MN152" s="25"/>
      <c r="MO152" s="25"/>
      <c r="MP152" s="25"/>
      <c r="MQ152" s="25"/>
      <c r="MR152" s="25"/>
      <c r="MS152" s="25"/>
      <c r="MT152" s="25"/>
      <c r="MU152" s="25"/>
      <c r="MV152" s="25"/>
      <c r="MW152" s="25"/>
      <c r="MX152" s="25"/>
      <c r="MY152" s="25"/>
      <c r="MZ152" s="25"/>
      <c r="NA152" s="25"/>
      <c r="NB152" s="25"/>
      <c r="NC152" s="25"/>
      <c r="ND152" s="25"/>
      <c r="NE152" s="33"/>
      <c r="OG152" s="18">
        <v>1</v>
      </c>
      <c r="OH152" s="18">
        <v>43336</v>
      </c>
      <c r="OI152" s="18">
        <v>43388</v>
      </c>
      <c r="PJ152" s="20" t="s">
        <v>11</v>
      </c>
      <c r="PK152" s="20">
        <v>106</v>
      </c>
    </row>
    <row r="153" spans="1:427" ht="13.5" customHeight="1" x14ac:dyDescent="0.2">
      <c r="A153" s="28"/>
      <c r="B153" s="22"/>
      <c r="C153" s="26"/>
      <c r="D153" s="44"/>
      <c r="E153" s="23"/>
      <c r="F153" s="24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BY153" s="25"/>
      <c r="BZ153" s="25"/>
      <c r="CA153" s="25"/>
      <c r="CB153" s="25"/>
      <c r="CC153" s="25"/>
      <c r="CD153" s="25"/>
      <c r="CE153" s="25"/>
      <c r="CF153" s="25"/>
      <c r="CG153" s="25"/>
      <c r="CH153" s="25"/>
      <c r="CI153" s="25"/>
      <c r="CJ153" s="25"/>
      <c r="CK153" s="25"/>
      <c r="CL153" s="25"/>
      <c r="CM153" s="25"/>
      <c r="CN153" s="25"/>
      <c r="CO153" s="25"/>
      <c r="CP153" s="25"/>
      <c r="CQ153" s="25"/>
      <c r="CR153" s="25"/>
      <c r="CS153" s="25"/>
      <c r="CT153" s="25"/>
      <c r="CU153" s="25"/>
      <c r="CV153" s="25"/>
      <c r="CW153" s="25"/>
      <c r="CX153" s="25"/>
      <c r="CY153" s="25"/>
      <c r="CZ153" s="25"/>
      <c r="DA153" s="25"/>
      <c r="DB153" s="25"/>
      <c r="DC153" s="25"/>
      <c r="DD153" s="25"/>
      <c r="DE153" s="25"/>
      <c r="DF153" s="25"/>
      <c r="DG153" s="25"/>
      <c r="DH153" s="25"/>
      <c r="DI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EF153" s="25"/>
      <c r="EG153" s="25"/>
      <c r="EH153" s="25"/>
      <c r="EI153" s="25"/>
      <c r="EJ153" s="25"/>
      <c r="EK153" s="25"/>
      <c r="EL153" s="25"/>
      <c r="EM153" s="25"/>
      <c r="EN153" s="25"/>
      <c r="EO153" s="25"/>
      <c r="EP153" s="25"/>
      <c r="EQ153" s="25"/>
      <c r="ER153" s="25"/>
      <c r="ES153" s="25"/>
      <c r="ET153" s="25"/>
      <c r="EU153" s="25"/>
      <c r="EV153" s="25"/>
      <c r="EW153" s="25"/>
      <c r="EX153" s="25"/>
      <c r="EY153" s="25"/>
      <c r="EZ153" s="25"/>
      <c r="FA153" s="25"/>
      <c r="FB153" s="25"/>
      <c r="FC153" s="25"/>
      <c r="FD153" s="25"/>
      <c r="FE153" s="25"/>
      <c r="FF153" s="25"/>
      <c r="FG153" s="25"/>
      <c r="FH153" s="25"/>
      <c r="FI153" s="25"/>
      <c r="FJ153" s="25"/>
      <c r="FK153" s="25"/>
      <c r="FL153" s="25"/>
      <c r="FM153" s="25"/>
      <c r="FN153" s="25"/>
      <c r="FO153" s="25"/>
      <c r="FP153" s="25"/>
      <c r="FQ153" s="25"/>
      <c r="FR153" s="25"/>
      <c r="FS153" s="25"/>
      <c r="FT153" s="25"/>
      <c r="FU153" s="25"/>
      <c r="FV153" s="25"/>
      <c r="FW153" s="25"/>
      <c r="FX153" s="25"/>
      <c r="FY153" s="25"/>
      <c r="FZ153" s="25"/>
      <c r="GA153" s="25"/>
      <c r="GB153" s="25"/>
      <c r="GC153" s="25"/>
      <c r="GD153" s="25"/>
      <c r="GE153" s="25"/>
      <c r="GF153" s="25"/>
      <c r="GG153" s="25"/>
      <c r="GH153" s="25"/>
      <c r="GI153" s="25"/>
      <c r="GJ153" s="25"/>
      <c r="GK153" s="25"/>
      <c r="GL153" s="25"/>
      <c r="GM153" s="25"/>
      <c r="GN153" s="25"/>
      <c r="GO153" s="25"/>
      <c r="GP153" s="25"/>
      <c r="GQ153" s="25"/>
      <c r="GR153" s="25"/>
      <c r="GS153" s="25"/>
      <c r="GT153" s="25"/>
      <c r="GU153" s="25"/>
      <c r="GV153" s="25"/>
      <c r="GW153" s="25"/>
      <c r="GX153" s="25"/>
      <c r="GY153" s="25"/>
      <c r="GZ153" s="25"/>
      <c r="HA153" s="25"/>
      <c r="HB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25"/>
      <c r="IR153" s="25"/>
      <c r="IS153" s="25"/>
      <c r="IT153" s="25"/>
      <c r="IU153" s="25"/>
      <c r="IV153" s="25"/>
      <c r="IW153" s="25"/>
      <c r="IX153" s="25"/>
      <c r="IY153" s="25"/>
      <c r="IZ153" s="25"/>
      <c r="JA153" s="25"/>
      <c r="JB153" s="25"/>
      <c r="JC153" s="25"/>
      <c r="JD153" s="25"/>
      <c r="JE153" s="25"/>
      <c r="JF153" s="25"/>
      <c r="JG153" s="25"/>
      <c r="JH153" s="25"/>
      <c r="JI153" s="25"/>
      <c r="JJ153" s="25"/>
      <c r="JK153" s="25"/>
      <c r="JL153" s="25"/>
      <c r="JM153" s="25"/>
      <c r="JN153" s="25"/>
      <c r="JO153" s="25"/>
      <c r="JP153" s="25"/>
      <c r="JQ153" s="25"/>
      <c r="JR153" s="25"/>
      <c r="JS153" s="25"/>
      <c r="JT153" s="25"/>
      <c r="JU153" s="25"/>
      <c r="JV153" s="25"/>
      <c r="JW153" s="25"/>
      <c r="JX153" s="25"/>
      <c r="JY153" s="25"/>
      <c r="JZ153" s="25"/>
      <c r="KA153" s="25"/>
      <c r="KB153" s="25"/>
      <c r="KC153" s="25"/>
      <c r="KD153" s="25"/>
      <c r="KE153" s="25"/>
      <c r="KF153" s="25"/>
      <c r="KG153" s="25"/>
      <c r="KH153" s="25"/>
      <c r="KI153" s="25"/>
      <c r="KJ153" s="25"/>
      <c r="KK153" s="25"/>
      <c r="KL153" s="25"/>
      <c r="KM153" s="25"/>
      <c r="KN153" s="25"/>
      <c r="KO153" s="25"/>
      <c r="KP153" s="25"/>
      <c r="KQ153" s="25"/>
      <c r="KR153" s="25"/>
      <c r="KS153" s="25"/>
      <c r="KT153" s="25"/>
      <c r="KU153" s="25"/>
      <c r="KV153" s="25"/>
      <c r="KW153" s="25"/>
      <c r="KX153" s="25"/>
      <c r="KY153" s="25"/>
      <c r="KZ153" s="25"/>
      <c r="LA153" s="25"/>
      <c r="LB153" s="25"/>
      <c r="LC153" s="25"/>
      <c r="LD153" s="25"/>
      <c r="LE153" s="25"/>
      <c r="LF153" s="25"/>
      <c r="LG153" s="25"/>
      <c r="LH153" s="25"/>
      <c r="LI153" s="25"/>
      <c r="LJ153" s="25"/>
      <c r="LK153" s="25"/>
      <c r="LL153" s="25"/>
      <c r="LM153" s="25"/>
      <c r="LN153" s="25"/>
      <c r="LO153" s="25"/>
      <c r="LP153" s="25"/>
      <c r="LQ153" s="25"/>
      <c r="LR153" s="25"/>
      <c r="LS153" s="25"/>
      <c r="LT153" s="25"/>
      <c r="LU153" s="25"/>
      <c r="LV153" s="25"/>
      <c r="LW153" s="25"/>
      <c r="LX153" s="25"/>
      <c r="LY153" s="25"/>
      <c r="LZ153" s="25"/>
      <c r="MA153" s="25"/>
      <c r="MB153" s="25"/>
      <c r="MC153" s="25"/>
      <c r="MD153" s="25"/>
      <c r="ME153" s="25"/>
      <c r="MF153" s="25"/>
      <c r="MG153" s="25"/>
      <c r="MH153" s="25"/>
      <c r="MI153" s="25"/>
      <c r="MJ153" s="25"/>
      <c r="MK153" s="25"/>
      <c r="ML153" s="25"/>
      <c r="MM153" s="25"/>
      <c r="MN153" s="25"/>
      <c r="MO153" s="25"/>
      <c r="MP153" s="25"/>
      <c r="MQ153" s="25"/>
      <c r="MR153" s="25"/>
      <c r="MS153" s="25"/>
      <c r="MT153" s="25"/>
      <c r="MU153" s="25"/>
      <c r="MV153" s="25"/>
      <c r="MW153" s="25"/>
      <c r="MX153" s="25"/>
      <c r="MY153" s="25"/>
      <c r="MZ153" s="25"/>
      <c r="NA153" s="25"/>
      <c r="NB153" s="25"/>
      <c r="NC153" s="25"/>
      <c r="ND153" s="25"/>
      <c r="NE153" s="33"/>
      <c r="OG153" s="18">
        <v>1</v>
      </c>
      <c r="OH153" s="18">
        <v>43196</v>
      </c>
      <c r="OI153" s="18">
        <v>43248</v>
      </c>
      <c r="PJ153" s="20" t="s">
        <v>11</v>
      </c>
      <c r="PK153" s="20">
        <v>106</v>
      </c>
    </row>
    <row r="154" spans="1:427" ht="0.75" customHeight="1" x14ac:dyDescent="0.2">
      <c r="A154" s="28"/>
      <c r="B154" s="22"/>
      <c r="C154" s="22"/>
      <c r="D154" s="44"/>
      <c r="E154" s="23"/>
      <c r="F154" s="24" t="s">
        <v>10</v>
      </c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EF154" s="25"/>
      <c r="EG154" s="25"/>
      <c r="EH154" s="25"/>
      <c r="EI154" s="25"/>
      <c r="EJ154" s="25"/>
      <c r="EK154" s="25"/>
      <c r="EL154" s="25"/>
      <c r="EM154" s="25"/>
      <c r="EN154" s="25"/>
      <c r="EO154" s="25"/>
      <c r="EP154" s="25"/>
      <c r="EQ154" s="25"/>
      <c r="ER154" s="25"/>
      <c r="ES154" s="25"/>
      <c r="ET154" s="25"/>
      <c r="EU154" s="25"/>
      <c r="EV154" s="25"/>
      <c r="EW154" s="25"/>
      <c r="EX154" s="25"/>
      <c r="EY154" s="25"/>
      <c r="EZ154" s="25"/>
      <c r="FA154" s="25"/>
      <c r="FB154" s="25"/>
      <c r="FC154" s="25"/>
      <c r="FD154" s="25"/>
      <c r="FE154" s="25"/>
      <c r="FF154" s="25"/>
      <c r="FG154" s="25"/>
      <c r="FH154" s="25"/>
      <c r="FI154" s="25"/>
      <c r="FJ154" s="25"/>
      <c r="FK154" s="25"/>
      <c r="FL154" s="25"/>
      <c r="FM154" s="25"/>
      <c r="FN154" s="25"/>
      <c r="FO154" s="25"/>
      <c r="FP154" s="25"/>
      <c r="FQ154" s="25"/>
      <c r="FR154" s="25"/>
      <c r="FS154" s="25"/>
      <c r="FT154" s="25"/>
      <c r="FU154" s="25"/>
      <c r="FV154" s="25"/>
      <c r="FW154" s="25"/>
      <c r="FX154" s="25"/>
      <c r="FY154" s="25"/>
      <c r="FZ154" s="25"/>
      <c r="GA154" s="25"/>
      <c r="GB154" s="25"/>
      <c r="GC154" s="25"/>
      <c r="GD154" s="25"/>
      <c r="GE154" s="25"/>
      <c r="GF154" s="25"/>
      <c r="GG154" s="25"/>
      <c r="GH154" s="25"/>
      <c r="GI154" s="25"/>
      <c r="GJ154" s="25"/>
      <c r="GK154" s="25"/>
      <c r="GL154" s="25"/>
      <c r="GM154" s="25"/>
      <c r="GN154" s="25"/>
      <c r="GO154" s="25"/>
      <c r="GP154" s="25"/>
      <c r="GQ154" s="25"/>
      <c r="GR154" s="25"/>
      <c r="GS154" s="25"/>
      <c r="GT154" s="25"/>
      <c r="GU154" s="25"/>
      <c r="GV154" s="25"/>
      <c r="GW154" s="25"/>
      <c r="GX154" s="25"/>
      <c r="GY154" s="25"/>
      <c r="GZ154" s="25"/>
      <c r="HA154" s="25"/>
      <c r="HB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25"/>
      <c r="IR154" s="25"/>
      <c r="IS154" s="25"/>
      <c r="IT154" s="25"/>
      <c r="IU154" s="25"/>
      <c r="IV154" s="25"/>
      <c r="IW154" s="25"/>
      <c r="IX154" s="25"/>
      <c r="IY154" s="25"/>
      <c r="IZ154" s="25"/>
      <c r="JA154" s="25"/>
      <c r="JB154" s="25"/>
      <c r="JC154" s="25"/>
      <c r="JD154" s="25"/>
      <c r="JE154" s="25"/>
      <c r="JF154" s="25"/>
      <c r="JG154" s="25"/>
      <c r="JH154" s="25"/>
      <c r="JI154" s="25"/>
      <c r="JJ154" s="25"/>
      <c r="JK154" s="25"/>
      <c r="JL154" s="25"/>
      <c r="JM154" s="25"/>
      <c r="JN154" s="25"/>
      <c r="JO154" s="25"/>
      <c r="JP154" s="25"/>
      <c r="JQ154" s="25"/>
      <c r="JR154" s="25"/>
      <c r="JS154" s="25"/>
      <c r="JT154" s="25"/>
      <c r="JU154" s="25"/>
      <c r="JV154" s="25"/>
      <c r="JW154" s="25"/>
      <c r="JX154" s="25"/>
      <c r="JY154" s="25"/>
      <c r="JZ154" s="25"/>
      <c r="KA154" s="25"/>
      <c r="KB154" s="25"/>
      <c r="KC154" s="25"/>
      <c r="KD154" s="25"/>
      <c r="KE154" s="25"/>
      <c r="KF154" s="25"/>
      <c r="KG154" s="25"/>
      <c r="KH154" s="25"/>
      <c r="KI154" s="25"/>
      <c r="KJ154" s="25"/>
      <c r="KK154" s="25"/>
      <c r="KL154" s="25"/>
      <c r="KM154" s="25"/>
      <c r="KN154" s="25"/>
      <c r="KO154" s="25"/>
      <c r="KP154" s="25"/>
      <c r="KQ154" s="25"/>
      <c r="KR154" s="25"/>
      <c r="KS154" s="25"/>
      <c r="KT154" s="25"/>
      <c r="KU154" s="25"/>
      <c r="KV154" s="25"/>
      <c r="KW154" s="25"/>
      <c r="KX154" s="25"/>
      <c r="KY154" s="25"/>
      <c r="KZ154" s="25"/>
      <c r="LA154" s="25"/>
      <c r="LB154" s="25"/>
      <c r="LC154" s="25"/>
      <c r="LD154" s="25"/>
      <c r="LE154" s="25"/>
      <c r="LF154" s="25"/>
      <c r="LG154" s="25"/>
      <c r="LH154" s="25"/>
      <c r="LI154" s="25"/>
      <c r="LJ154" s="25"/>
      <c r="LK154" s="25"/>
      <c r="LL154" s="25"/>
      <c r="LM154" s="25"/>
      <c r="LN154" s="25"/>
      <c r="LO154" s="25"/>
      <c r="LP154" s="25"/>
      <c r="LQ154" s="25"/>
      <c r="LR154" s="25"/>
      <c r="LS154" s="25"/>
      <c r="LT154" s="25"/>
      <c r="LU154" s="25"/>
      <c r="LV154" s="25"/>
      <c r="LW154" s="25"/>
      <c r="LX154" s="25"/>
      <c r="LY154" s="25"/>
      <c r="LZ154" s="25"/>
      <c r="MA154" s="25"/>
      <c r="MB154" s="25"/>
      <c r="MC154" s="25"/>
      <c r="MD154" s="25"/>
      <c r="ME154" s="25"/>
      <c r="MF154" s="25"/>
      <c r="MG154" s="25"/>
      <c r="MH154" s="25"/>
      <c r="MI154" s="25"/>
      <c r="MJ154" s="25"/>
      <c r="MK154" s="25"/>
      <c r="ML154" s="25"/>
      <c r="MM154" s="25"/>
      <c r="MN154" s="25"/>
      <c r="MO154" s="25"/>
      <c r="MP154" s="25"/>
      <c r="MQ154" s="25"/>
      <c r="MR154" s="25"/>
      <c r="MS154" s="25"/>
      <c r="MT154" s="25"/>
      <c r="MU154" s="25"/>
      <c r="MV154" s="25"/>
      <c r="MW154" s="25"/>
      <c r="MX154" s="25"/>
      <c r="MY154" s="25"/>
      <c r="MZ154" s="25"/>
      <c r="NA154" s="25"/>
      <c r="NB154" s="25"/>
      <c r="NC154" s="25"/>
      <c r="ND154" s="25"/>
      <c r="NE154" s="33"/>
    </row>
    <row r="155" spans="1:427" ht="13.5" customHeight="1" x14ac:dyDescent="0.2">
      <c r="A155" s="28"/>
      <c r="B155" s="22"/>
      <c r="C155" s="26"/>
      <c r="D155" s="44"/>
      <c r="E155" s="23"/>
      <c r="F155" s="24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  <c r="BL155" s="25"/>
      <c r="BM155" s="25"/>
      <c r="BN155" s="25"/>
      <c r="BO155" s="25"/>
      <c r="BP155" s="25"/>
      <c r="BQ155" s="25"/>
      <c r="BR155" s="25"/>
      <c r="BS155" s="25"/>
      <c r="BT155" s="25"/>
      <c r="BU155" s="25"/>
      <c r="BV155" s="25"/>
      <c r="BW155" s="25"/>
      <c r="BX155" s="25"/>
      <c r="BY155" s="25"/>
      <c r="BZ155" s="25"/>
      <c r="CA155" s="25"/>
      <c r="CB155" s="25"/>
      <c r="CC155" s="25"/>
      <c r="CD155" s="25"/>
      <c r="CE155" s="25"/>
      <c r="CF155" s="25"/>
      <c r="CG155" s="25"/>
      <c r="CH155" s="25"/>
      <c r="CI155" s="25"/>
      <c r="CJ155" s="25"/>
      <c r="CK155" s="25"/>
      <c r="CL155" s="25"/>
      <c r="CM155" s="25"/>
      <c r="CN155" s="25"/>
      <c r="CO155" s="25"/>
      <c r="CP155" s="25"/>
      <c r="CQ155" s="25"/>
      <c r="CR155" s="25"/>
      <c r="CS155" s="25"/>
      <c r="CT155" s="25"/>
      <c r="CU155" s="25"/>
      <c r="CV155" s="25"/>
      <c r="CW155" s="25"/>
      <c r="CX155" s="25"/>
      <c r="CY155" s="25"/>
      <c r="CZ155" s="25"/>
      <c r="DA155" s="25"/>
      <c r="DB155" s="25"/>
      <c r="DC155" s="25"/>
      <c r="DD155" s="25"/>
      <c r="DE155" s="25"/>
      <c r="DF155" s="25"/>
      <c r="DG155" s="25"/>
      <c r="DH155" s="25"/>
      <c r="DI155" s="25"/>
      <c r="DJ155" s="25"/>
      <c r="DK155" s="25"/>
      <c r="DL155" s="25"/>
      <c r="DM155" s="25"/>
      <c r="DN155" s="25"/>
      <c r="DO155" s="25"/>
      <c r="DP155" s="25"/>
      <c r="DQ155" s="25"/>
      <c r="DR155" s="25"/>
      <c r="DS155" s="25"/>
      <c r="DT155" s="25"/>
      <c r="DU155" s="25"/>
      <c r="DV155" s="25"/>
      <c r="DW155" s="25"/>
      <c r="DX155" s="25"/>
      <c r="DY155" s="25"/>
      <c r="DZ155" s="25"/>
      <c r="EA155" s="25"/>
      <c r="EB155" s="25"/>
      <c r="EC155" s="25"/>
      <c r="ED155" s="25"/>
      <c r="EE155" s="25"/>
      <c r="EF155" s="25"/>
      <c r="EG155" s="25"/>
      <c r="EH155" s="25"/>
      <c r="EI155" s="25"/>
      <c r="EJ155" s="25"/>
      <c r="EK155" s="25"/>
      <c r="EL155" s="25"/>
      <c r="EM155" s="25"/>
      <c r="EN155" s="25"/>
      <c r="EO155" s="25"/>
      <c r="EP155" s="25"/>
      <c r="EQ155" s="25"/>
      <c r="ER155" s="25"/>
      <c r="ES155" s="25"/>
      <c r="ET155" s="25"/>
      <c r="EU155" s="25"/>
      <c r="EV155" s="25"/>
      <c r="EW155" s="25"/>
      <c r="EX155" s="25"/>
      <c r="EY155" s="25"/>
      <c r="EZ155" s="25"/>
      <c r="FA155" s="25"/>
      <c r="FB155" s="25"/>
      <c r="FC155" s="25"/>
      <c r="FD155" s="25"/>
      <c r="FE155" s="25"/>
      <c r="FF155" s="25"/>
      <c r="FG155" s="25"/>
      <c r="FH155" s="25"/>
      <c r="FI155" s="25"/>
      <c r="FJ155" s="25"/>
      <c r="FK155" s="25"/>
      <c r="FL155" s="25"/>
      <c r="FM155" s="25"/>
      <c r="FN155" s="25"/>
      <c r="FO155" s="25"/>
      <c r="FP155" s="25"/>
      <c r="FQ155" s="25"/>
      <c r="FR155" s="25"/>
      <c r="FS155" s="25"/>
      <c r="FT155" s="25"/>
      <c r="FU155" s="25"/>
      <c r="FV155" s="25"/>
      <c r="FW155" s="25"/>
      <c r="FX155" s="25"/>
      <c r="FY155" s="25"/>
      <c r="FZ155" s="25"/>
      <c r="GA155" s="25"/>
      <c r="GB155" s="25"/>
      <c r="GC155" s="25"/>
      <c r="GD155" s="25"/>
      <c r="GE155" s="25"/>
      <c r="GF155" s="25"/>
      <c r="GG155" s="25"/>
      <c r="GH155" s="25"/>
      <c r="GI155" s="25"/>
      <c r="GJ155" s="25"/>
      <c r="GK155" s="25"/>
      <c r="GL155" s="25"/>
      <c r="GM155" s="25"/>
      <c r="GN155" s="25"/>
      <c r="GO155" s="25"/>
      <c r="GP155" s="25"/>
      <c r="GQ155" s="25"/>
      <c r="GR155" s="25"/>
      <c r="GS155" s="25"/>
      <c r="GT155" s="25"/>
      <c r="GU155" s="25"/>
      <c r="GV155" s="25"/>
      <c r="GW155" s="25"/>
      <c r="GX155" s="25"/>
      <c r="GY155" s="25"/>
      <c r="GZ155" s="25"/>
      <c r="HA155" s="25"/>
      <c r="HB155" s="25"/>
      <c r="HC155" s="25"/>
      <c r="HD155" s="25"/>
      <c r="HE155" s="25"/>
      <c r="HF155" s="25"/>
      <c r="HG155" s="25"/>
      <c r="HH155" s="25"/>
      <c r="HI155" s="25"/>
      <c r="HJ155" s="25"/>
      <c r="HK155" s="25"/>
      <c r="HL155" s="25"/>
      <c r="HM155" s="25"/>
      <c r="HN155" s="25"/>
      <c r="HO155" s="25"/>
      <c r="HP155" s="25"/>
      <c r="HQ155" s="25"/>
      <c r="HR155" s="25"/>
      <c r="HS155" s="25"/>
      <c r="HT155" s="25"/>
      <c r="HU155" s="25"/>
      <c r="HV155" s="25"/>
      <c r="HW155" s="25"/>
      <c r="HX155" s="25"/>
      <c r="HY155" s="25"/>
      <c r="HZ155" s="25"/>
      <c r="IA155" s="25"/>
      <c r="IB155" s="25"/>
      <c r="IC155" s="25"/>
      <c r="ID155" s="25"/>
      <c r="IE155" s="25"/>
      <c r="IF155" s="25"/>
      <c r="IG155" s="25"/>
      <c r="IH155" s="25"/>
      <c r="II155" s="25"/>
      <c r="IJ155" s="25"/>
      <c r="IK155" s="25"/>
      <c r="IL155" s="25"/>
      <c r="IM155" s="25"/>
      <c r="IN155" s="25"/>
      <c r="IO155" s="25"/>
      <c r="IP155" s="25"/>
      <c r="IQ155" s="25"/>
      <c r="IR155" s="25"/>
      <c r="IS155" s="25"/>
      <c r="IT155" s="25"/>
      <c r="IU155" s="25"/>
      <c r="IV155" s="25"/>
      <c r="IW155" s="25"/>
      <c r="IX155" s="25"/>
      <c r="IY155" s="25"/>
      <c r="IZ155" s="25"/>
      <c r="JA155" s="25"/>
      <c r="JB155" s="25"/>
      <c r="JC155" s="25"/>
      <c r="JD155" s="25"/>
      <c r="JE155" s="25"/>
      <c r="JF155" s="25"/>
      <c r="JG155" s="25"/>
      <c r="JH155" s="25"/>
      <c r="JI155" s="25"/>
      <c r="JJ155" s="25"/>
      <c r="JK155" s="25"/>
      <c r="JL155" s="25"/>
      <c r="JM155" s="25"/>
      <c r="JN155" s="25"/>
      <c r="JO155" s="25"/>
      <c r="JP155" s="25"/>
      <c r="JQ155" s="25"/>
      <c r="JR155" s="25"/>
      <c r="JS155" s="25"/>
      <c r="JT155" s="25"/>
      <c r="JU155" s="25"/>
      <c r="JV155" s="25"/>
      <c r="JW155" s="25"/>
      <c r="JX155" s="25"/>
      <c r="JY155" s="25"/>
      <c r="JZ155" s="25"/>
      <c r="KA155" s="25"/>
      <c r="KB155" s="25"/>
      <c r="KC155" s="25"/>
      <c r="KD155" s="25"/>
      <c r="KE155" s="25"/>
      <c r="KF155" s="25"/>
      <c r="KG155" s="25"/>
      <c r="KH155" s="25"/>
      <c r="KI155" s="25"/>
      <c r="KJ155" s="25"/>
      <c r="KK155" s="25"/>
      <c r="KL155" s="25"/>
      <c r="KM155" s="25"/>
      <c r="KN155" s="25"/>
      <c r="KO155" s="25"/>
      <c r="KP155" s="25"/>
      <c r="KQ155" s="25"/>
      <c r="KR155" s="25"/>
      <c r="KS155" s="25"/>
      <c r="KT155" s="25"/>
      <c r="KU155" s="25"/>
      <c r="KV155" s="25"/>
      <c r="KW155" s="25"/>
      <c r="KX155" s="25"/>
      <c r="KY155" s="25"/>
      <c r="KZ155" s="25"/>
      <c r="LA155" s="25"/>
      <c r="LB155" s="25"/>
      <c r="LC155" s="25"/>
      <c r="LD155" s="25"/>
      <c r="LE155" s="25"/>
      <c r="LF155" s="25"/>
      <c r="LG155" s="25"/>
      <c r="LH155" s="25"/>
      <c r="LI155" s="25"/>
      <c r="LJ155" s="25"/>
      <c r="LK155" s="25"/>
      <c r="LL155" s="25"/>
      <c r="LM155" s="25"/>
      <c r="LN155" s="25"/>
      <c r="LO155" s="25"/>
      <c r="LP155" s="25"/>
      <c r="LQ155" s="25"/>
      <c r="LR155" s="25"/>
      <c r="LS155" s="25"/>
      <c r="LT155" s="25"/>
      <c r="LU155" s="25"/>
      <c r="LV155" s="25"/>
      <c r="LW155" s="25"/>
      <c r="LX155" s="25"/>
      <c r="LY155" s="25"/>
      <c r="LZ155" s="25"/>
      <c r="MA155" s="25"/>
      <c r="MB155" s="25"/>
      <c r="MC155" s="25"/>
      <c r="MD155" s="25"/>
      <c r="ME155" s="25"/>
      <c r="MF155" s="25"/>
      <c r="MG155" s="25"/>
      <c r="MH155" s="25"/>
      <c r="MI155" s="25"/>
      <c r="MJ155" s="25"/>
      <c r="MK155" s="25"/>
      <c r="ML155" s="25"/>
      <c r="MM155" s="25"/>
      <c r="MN155" s="25"/>
      <c r="MO155" s="25"/>
      <c r="MP155" s="25"/>
      <c r="MQ155" s="25"/>
      <c r="MR155" s="25"/>
      <c r="MS155" s="25"/>
      <c r="MT155" s="25"/>
      <c r="MU155" s="25"/>
      <c r="MV155" s="25"/>
      <c r="MW155" s="25"/>
      <c r="MX155" s="25"/>
      <c r="MY155" s="25"/>
      <c r="MZ155" s="25"/>
      <c r="NA155" s="25"/>
      <c r="NB155" s="25"/>
      <c r="NC155" s="25"/>
      <c r="ND155" s="25"/>
      <c r="NE155" s="33"/>
      <c r="OG155" s="18">
        <v>1</v>
      </c>
      <c r="OH155" s="18">
        <v>43336</v>
      </c>
      <c r="OI155" s="18">
        <v>43388</v>
      </c>
      <c r="PJ155" s="20" t="s">
        <v>11</v>
      </c>
      <c r="PK155" s="20">
        <v>106</v>
      </c>
    </row>
    <row r="156" spans="1:427" ht="13.5" customHeight="1" x14ac:dyDescent="0.2">
      <c r="A156" s="28"/>
      <c r="B156" s="22"/>
      <c r="C156" s="26"/>
      <c r="D156" s="44"/>
      <c r="E156" s="23"/>
      <c r="F156" s="24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  <c r="BL156" s="25"/>
      <c r="BM156" s="25"/>
      <c r="BN156" s="25"/>
      <c r="BO156" s="25"/>
      <c r="BP156" s="25"/>
      <c r="BQ156" s="25"/>
      <c r="BR156" s="25"/>
      <c r="BS156" s="25"/>
      <c r="BT156" s="25"/>
      <c r="BU156" s="25"/>
      <c r="BV156" s="25"/>
      <c r="BW156" s="25"/>
      <c r="BX156" s="25"/>
      <c r="BY156" s="25"/>
      <c r="BZ156" s="25"/>
      <c r="CA156" s="25"/>
      <c r="CB156" s="25"/>
      <c r="CC156" s="25"/>
      <c r="CD156" s="25"/>
      <c r="CE156" s="25"/>
      <c r="CF156" s="25"/>
      <c r="CG156" s="25"/>
      <c r="CH156" s="25"/>
      <c r="CI156" s="25"/>
      <c r="CJ156" s="25"/>
      <c r="CK156" s="25"/>
      <c r="CL156" s="25"/>
      <c r="CM156" s="25"/>
      <c r="CN156" s="25"/>
      <c r="CO156" s="25"/>
      <c r="CP156" s="25"/>
      <c r="CQ156" s="25"/>
      <c r="CR156" s="25"/>
      <c r="CS156" s="25"/>
      <c r="CT156" s="25"/>
      <c r="CU156" s="25"/>
      <c r="CV156" s="25"/>
      <c r="CW156" s="25"/>
      <c r="CX156" s="25"/>
      <c r="CY156" s="25"/>
      <c r="CZ156" s="25"/>
      <c r="DA156" s="25"/>
      <c r="DB156" s="25"/>
      <c r="DC156" s="25"/>
      <c r="DD156" s="25"/>
      <c r="DE156" s="25"/>
      <c r="DF156" s="25"/>
      <c r="DG156" s="25"/>
      <c r="DH156" s="25"/>
      <c r="DI156" s="25"/>
      <c r="DJ156" s="25"/>
      <c r="DK156" s="25"/>
      <c r="DL156" s="25"/>
      <c r="DM156" s="25"/>
      <c r="DN156" s="25"/>
      <c r="DO156" s="25"/>
      <c r="DP156" s="25"/>
      <c r="DQ156" s="25"/>
      <c r="DR156" s="25"/>
      <c r="DS156" s="25"/>
      <c r="DT156" s="25"/>
      <c r="DU156" s="25"/>
      <c r="DV156" s="25"/>
      <c r="DW156" s="25"/>
      <c r="DX156" s="25"/>
      <c r="DY156" s="25"/>
      <c r="DZ156" s="25"/>
      <c r="EA156" s="25"/>
      <c r="EB156" s="25"/>
      <c r="EC156" s="25"/>
      <c r="ED156" s="25"/>
      <c r="EE156" s="25"/>
      <c r="EF156" s="25"/>
      <c r="EG156" s="25"/>
      <c r="EH156" s="25"/>
      <c r="EI156" s="25"/>
      <c r="EJ156" s="25"/>
      <c r="EK156" s="25"/>
      <c r="EL156" s="25"/>
      <c r="EM156" s="25"/>
      <c r="EN156" s="25"/>
      <c r="EO156" s="25"/>
      <c r="EP156" s="25"/>
      <c r="EQ156" s="25"/>
      <c r="ER156" s="25"/>
      <c r="ES156" s="25"/>
      <c r="ET156" s="25"/>
      <c r="EU156" s="25"/>
      <c r="EV156" s="25"/>
      <c r="EW156" s="25"/>
      <c r="EX156" s="25"/>
      <c r="EY156" s="25"/>
      <c r="EZ156" s="25"/>
      <c r="FA156" s="25"/>
      <c r="FB156" s="25"/>
      <c r="FC156" s="25"/>
      <c r="FD156" s="25"/>
      <c r="FE156" s="25"/>
      <c r="FF156" s="25"/>
      <c r="FG156" s="25"/>
      <c r="FH156" s="25"/>
      <c r="FI156" s="25"/>
      <c r="FJ156" s="25"/>
      <c r="FK156" s="25"/>
      <c r="FL156" s="25"/>
      <c r="FM156" s="25"/>
      <c r="FN156" s="25"/>
      <c r="FO156" s="25"/>
      <c r="FP156" s="25"/>
      <c r="FQ156" s="25"/>
      <c r="FR156" s="25"/>
      <c r="FS156" s="25"/>
      <c r="FT156" s="25"/>
      <c r="FU156" s="25"/>
      <c r="FV156" s="25"/>
      <c r="FW156" s="25"/>
      <c r="FX156" s="25"/>
      <c r="FY156" s="25"/>
      <c r="FZ156" s="25"/>
      <c r="GA156" s="25"/>
      <c r="GB156" s="25"/>
      <c r="GC156" s="25"/>
      <c r="GD156" s="25"/>
      <c r="GE156" s="25"/>
      <c r="GF156" s="25"/>
      <c r="GG156" s="25"/>
      <c r="GH156" s="25"/>
      <c r="GI156" s="25"/>
      <c r="GJ156" s="25"/>
      <c r="GK156" s="25"/>
      <c r="GL156" s="25"/>
      <c r="GM156" s="25"/>
      <c r="GN156" s="25"/>
      <c r="GO156" s="25"/>
      <c r="GP156" s="25"/>
      <c r="GQ156" s="25"/>
      <c r="GR156" s="25"/>
      <c r="GS156" s="25"/>
      <c r="GT156" s="25"/>
      <c r="GU156" s="25"/>
      <c r="GV156" s="25"/>
      <c r="GW156" s="25"/>
      <c r="GX156" s="25"/>
      <c r="GY156" s="25"/>
      <c r="GZ156" s="25"/>
      <c r="HA156" s="25"/>
      <c r="HB156" s="25"/>
      <c r="HC156" s="25"/>
      <c r="HD156" s="25"/>
      <c r="HE156" s="25"/>
      <c r="HF156" s="25"/>
      <c r="HG156" s="25"/>
      <c r="HH156" s="25"/>
      <c r="HI156" s="25"/>
      <c r="HJ156" s="25"/>
      <c r="HK156" s="25"/>
      <c r="HL156" s="25"/>
      <c r="HM156" s="25"/>
      <c r="HN156" s="25"/>
      <c r="HO156" s="25"/>
      <c r="HP156" s="25"/>
      <c r="HQ156" s="25"/>
      <c r="HR156" s="25"/>
      <c r="HS156" s="25"/>
      <c r="HT156" s="25"/>
      <c r="HU156" s="25"/>
      <c r="HV156" s="25"/>
      <c r="HW156" s="25"/>
      <c r="HX156" s="25"/>
      <c r="HY156" s="25"/>
      <c r="HZ156" s="25"/>
      <c r="IA156" s="25"/>
      <c r="IB156" s="25"/>
      <c r="IC156" s="25"/>
      <c r="ID156" s="25"/>
      <c r="IE156" s="25"/>
      <c r="IF156" s="25"/>
      <c r="IG156" s="25"/>
      <c r="IH156" s="25"/>
      <c r="II156" s="25"/>
      <c r="IJ156" s="25"/>
      <c r="IK156" s="25"/>
      <c r="IL156" s="25"/>
      <c r="IM156" s="25"/>
      <c r="IN156" s="25"/>
      <c r="IO156" s="25"/>
      <c r="IP156" s="25"/>
      <c r="IQ156" s="25"/>
      <c r="IR156" s="25"/>
      <c r="IS156" s="25"/>
      <c r="IT156" s="25"/>
      <c r="IU156" s="25"/>
      <c r="IV156" s="25"/>
      <c r="IW156" s="25"/>
      <c r="IX156" s="25"/>
      <c r="IY156" s="25"/>
      <c r="IZ156" s="25"/>
      <c r="JA156" s="25"/>
      <c r="JB156" s="25"/>
      <c r="JC156" s="25"/>
      <c r="JD156" s="25"/>
      <c r="JE156" s="25"/>
      <c r="JF156" s="25"/>
      <c r="JG156" s="25"/>
      <c r="JH156" s="25"/>
      <c r="JI156" s="25"/>
      <c r="JJ156" s="25"/>
      <c r="JK156" s="25"/>
      <c r="JL156" s="25"/>
      <c r="JM156" s="25"/>
      <c r="JN156" s="25"/>
      <c r="JO156" s="25"/>
      <c r="JP156" s="25"/>
      <c r="JQ156" s="25"/>
      <c r="JR156" s="25"/>
      <c r="JS156" s="25"/>
      <c r="JT156" s="25"/>
      <c r="JU156" s="25"/>
      <c r="JV156" s="25"/>
      <c r="JW156" s="25"/>
      <c r="JX156" s="25"/>
      <c r="JY156" s="25"/>
      <c r="JZ156" s="25"/>
      <c r="KA156" s="25"/>
      <c r="KB156" s="25"/>
      <c r="KC156" s="25"/>
      <c r="KD156" s="25"/>
      <c r="KE156" s="25"/>
      <c r="KF156" s="25"/>
      <c r="KG156" s="25"/>
      <c r="KH156" s="25"/>
      <c r="KI156" s="25"/>
      <c r="KJ156" s="25"/>
      <c r="KK156" s="25"/>
      <c r="KL156" s="25"/>
      <c r="KM156" s="25"/>
      <c r="KN156" s="25"/>
      <c r="KO156" s="25"/>
      <c r="KP156" s="25"/>
      <c r="KQ156" s="25"/>
      <c r="KR156" s="25"/>
      <c r="KS156" s="25"/>
      <c r="KT156" s="25"/>
      <c r="KU156" s="25"/>
      <c r="KV156" s="25"/>
      <c r="KW156" s="25"/>
      <c r="KX156" s="25"/>
      <c r="KY156" s="25"/>
      <c r="KZ156" s="25"/>
      <c r="LA156" s="25"/>
      <c r="LB156" s="25"/>
      <c r="LC156" s="25"/>
      <c r="LD156" s="25"/>
      <c r="LE156" s="25"/>
      <c r="LF156" s="25"/>
      <c r="LG156" s="25"/>
      <c r="LH156" s="25"/>
      <c r="LI156" s="25"/>
      <c r="LJ156" s="25"/>
      <c r="LK156" s="25"/>
      <c r="LL156" s="25"/>
      <c r="LM156" s="25"/>
      <c r="LN156" s="25"/>
      <c r="LO156" s="25"/>
      <c r="LP156" s="25"/>
      <c r="LQ156" s="25"/>
      <c r="LR156" s="25"/>
      <c r="LS156" s="25"/>
      <c r="LT156" s="25"/>
      <c r="LU156" s="25"/>
      <c r="LV156" s="25"/>
      <c r="LW156" s="25"/>
      <c r="LX156" s="25"/>
      <c r="LY156" s="25"/>
      <c r="LZ156" s="25"/>
      <c r="MA156" s="25"/>
      <c r="MB156" s="25"/>
      <c r="MC156" s="25"/>
      <c r="MD156" s="25"/>
      <c r="ME156" s="25"/>
      <c r="MF156" s="25"/>
      <c r="MG156" s="25"/>
      <c r="MH156" s="25"/>
      <c r="MI156" s="25"/>
      <c r="MJ156" s="25"/>
      <c r="MK156" s="25"/>
      <c r="ML156" s="25"/>
      <c r="MM156" s="25"/>
      <c r="MN156" s="25"/>
      <c r="MO156" s="25"/>
      <c r="MP156" s="25"/>
      <c r="MQ156" s="25"/>
      <c r="MR156" s="25"/>
      <c r="MS156" s="25"/>
      <c r="MT156" s="25"/>
      <c r="MU156" s="25"/>
      <c r="MV156" s="25"/>
      <c r="MW156" s="25"/>
      <c r="MX156" s="25"/>
      <c r="MY156" s="25"/>
      <c r="MZ156" s="25"/>
      <c r="NA156" s="25"/>
      <c r="NB156" s="25"/>
      <c r="NC156" s="25"/>
      <c r="ND156" s="25"/>
      <c r="NE156" s="33"/>
      <c r="OG156" s="18">
        <v>1</v>
      </c>
      <c r="OH156" s="18">
        <v>43196</v>
      </c>
      <c r="OI156" s="18">
        <v>43248</v>
      </c>
      <c r="PJ156" s="20" t="s">
        <v>11</v>
      </c>
      <c r="PK156" s="20">
        <v>106</v>
      </c>
    </row>
    <row r="157" spans="1:427" ht="0.75" customHeight="1" x14ac:dyDescent="0.2">
      <c r="A157" s="28"/>
      <c r="B157" s="22"/>
      <c r="C157" s="22"/>
      <c r="D157" s="44"/>
      <c r="E157" s="23"/>
      <c r="F157" s="24" t="s">
        <v>10</v>
      </c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  <c r="BL157" s="25"/>
      <c r="BM157" s="25"/>
      <c r="BN157" s="25"/>
      <c r="BO157" s="25"/>
      <c r="BP157" s="25"/>
      <c r="BQ157" s="25"/>
      <c r="BR157" s="25"/>
      <c r="BS157" s="25"/>
      <c r="BT157" s="25"/>
      <c r="BU157" s="25"/>
      <c r="BV157" s="25"/>
      <c r="BW157" s="25"/>
      <c r="BX157" s="25"/>
      <c r="BY157" s="25"/>
      <c r="BZ157" s="25"/>
      <c r="CA157" s="25"/>
      <c r="CB157" s="25"/>
      <c r="CC157" s="25"/>
      <c r="CD157" s="25"/>
      <c r="CE157" s="25"/>
      <c r="CF157" s="25"/>
      <c r="CG157" s="25"/>
      <c r="CH157" s="25"/>
      <c r="CI157" s="25"/>
      <c r="CJ157" s="25"/>
      <c r="CK157" s="25"/>
      <c r="CL157" s="25"/>
      <c r="CM157" s="25"/>
      <c r="CN157" s="25"/>
      <c r="CO157" s="25"/>
      <c r="CP157" s="25"/>
      <c r="CQ157" s="25"/>
      <c r="CR157" s="25"/>
      <c r="CS157" s="25"/>
      <c r="CT157" s="25"/>
      <c r="CU157" s="25"/>
      <c r="CV157" s="25"/>
      <c r="CW157" s="25"/>
      <c r="CX157" s="25"/>
      <c r="CY157" s="25"/>
      <c r="CZ157" s="25"/>
      <c r="DA157" s="25"/>
      <c r="DB157" s="25"/>
      <c r="DC157" s="25"/>
      <c r="DD157" s="25"/>
      <c r="DE157" s="25"/>
      <c r="DF157" s="25"/>
      <c r="DG157" s="25"/>
      <c r="DH157" s="25"/>
      <c r="DI157" s="25"/>
      <c r="DJ157" s="25"/>
      <c r="DK157" s="25"/>
      <c r="DL157" s="25"/>
      <c r="DM157" s="25"/>
      <c r="DN157" s="25"/>
      <c r="DO157" s="25"/>
      <c r="DP157" s="25"/>
      <c r="DQ157" s="25"/>
      <c r="DR157" s="25"/>
      <c r="DS157" s="25"/>
      <c r="DT157" s="25"/>
      <c r="DU157" s="25"/>
      <c r="DV157" s="25"/>
      <c r="DW157" s="25"/>
      <c r="DX157" s="25"/>
      <c r="DY157" s="25"/>
      <c r="DZ157" s="25"/>
      <c r="EA157" s="25"/>
      <c r="EB157" s="25"/>
      <c r="EC157" s="25"/>
      <c r="ED157" s="25"/>
      <c r="EE157" s="25"/>
      <c r="EF157" s="25"/>
      <c r="EG157" s="25"/>
      <c r="EH157" s="25"/>
      <c r="EI157" s="25"/>
      <c r="EJ157" s="25"/>
      <c r="EK157" s="25"/>
      <c r="EL157" s="25"/>
      <c r="EM157" s="25"/>
      <c r="EN157" s="25"/>
      <c r="EO157" s="25"/>
      <c r="EP157" s="25"/>
      <c r="EQ157" s="25"/>
      <c r="ER157" s="25"/>
      <c r="ES157" s="25"/>
      <c r="ET157" s="25"/>
      <c r="EU157" s="25"/>
      <c r="EV157" s="25"/>
      <c r="EW157" s="25"/>
      <c r="EX157" s="25"/>
      <c r="EY157" s="25"/>
      <c r="EZ157" s="25"/>
      <c r="FA157" s="25"/>
      <c r="FB157" s="25"/>
      <c r="FC157" s="25"/>
      <c r="FD157" s="25"/>
      <c r="FE157" s="25"/>
      <c r="FF157" s="25"/>
      <c r="FG157" s="25"/>
      <c r="FH157" s="25"/>
      <c r="FI157" s="25"/>
      <c r="FJ157" s="25"/>
      <c r="FK157" s="25"/>
      <c r="FL157" s="25"/>
      <c r="FM157" s="25"/>
      <c r="FN157" s="25"/>
      <c r="FO157" s="25"/>
      <c r="FP157" s="25"/>
      <c r="FQ157" s="25"/>
      <c r="FR157" s="25"/>
      <c r="FS157" s="25"/>
      <c r="FT157" s="25"/>
      <c r="FU157" s="25"/>
      <c r="FV157" s="25"/>
      <c r="FW157" s="25"/>
      <c r="FX157" s="25"/>
      <c r="FY157" s="25"/>
      <c r="FZ157" s="25"/>
      <c r="GA157" s="25"/>
      <c r="GB157" s="25"/>
      <c r="GC157" s="25"/>
      <c r="GD157" s="25"/>
      <c r="GE157" s="25"/>
      <c r="GF157" s="25"/>
      <c r="GG157" s="25"/>
      <c r="GH157" s="25"/>
      <c r="GI157" s="25"/>
      <c r="GJ157" s="25"/>
      <c r="GK157" s="25"/>
      <c r="GL157" s="25"/>
      <c r="GM157" s="25"/>
      <c r="GN157" s="25"/>
      <c r="GO157" s="25"/>
      <c r="GP157" s="25"/>
      <c r="GQ157" s="25"/>
      <c r="GR157" s="25"/>
      <c r="GS157" s="25"/>
      <c r="GT157" s="25"/>
      <c r="GU157" s="25"/>
      <c r="GV157" s="25"/>
      <c r="GW157" s="25"/>
      <c r="GX157" s="25"/>
      <c r="GY157" s="25"/>
      <c r="GZ157" s="25"/>
      <c r="HA157" s="25"/>
      <c r="HB157" s="25"/>
      <c r="HC157" s="25"/>
      <c r="HD157" s="25"/>
      <c r="HE157" s="25"/>
      <c r="HF157" s="25"/>
      <c r="HG157" s="25"/>
      <c r="HH157" s="25"/>
      <c r="HI157" s="25"/>
      <c r="HJ157" s="25"/>
      <c r="HK157" s="25"/>
      <c r="HL157" s="25"/>
      <c r="HM157" s="25"/>
      <c r="HN157" s="25"/>
      <c r="HO157" s="25"/>
      <c r="HP157" s="25"/>
      <c r="HQ157" s="25"/>
      <c r="HR157" s="25"/>
      <c r="HS157" s="25"/>
      <c r="HT157" s="25"/>
      <c r="HU157" s="25"/>
      <c r="HV157" s="25"/>
      <c r="HW157" s="25"/>
      <c r="HX157" s="25"/>
      <c r="HY157" s="25"/>
      <c r="HZ157" s="25"/>
      <c r="IA157" s="25"/>
      <c r="IB157" s="25"/>
      <c r="IC157" s="25"/>
      <c r="ID157" s="25"/>
      <c r="IE157" s="25"/>
      <c r="IF157" s="25"/>
      <c r="IG157" s="25"/>
      <c r="IH157" s="25"/>
      <c r="II157" s="25"/>
      <c r="IJ157" s="25"/>
      <c r="IK157" s="25"/>
      <c r="IL157" s="25"/>
      <c r="IM157" s="25"/>
      <c r="IN157" s="25"/>
      <c r="IO157" s="25"/>
      <c r="IP157" s="25"/>
      <c r="IQ157" s="25"/>
      <c r="IR157" s="25"/>
      <c r="IS157" s="25"/>
      <c r="IT157" s="25"/>
      <c r="IU157" s="25"/>
      <c r="IV157" s="25"/>
      <c r="IW157" s="25"/>
      <c r="IX157" s="25"/>
      <c r="IY157" s="25"/>
      <c r="IZ157" s="25"/>
      <c r="JA157" s="25"/>
      <c r="JB157" s="25"/>
      <c r="JC157" s="25"/>
      <c r="JD157" s="25"/>
      <c r="JE157" s="25"/>
      <c r="JF157" s="25"/>
      <c r="JG157" s="25"/>
      <c r="JH157" s="25"/>
      <c r="JI157" s="25"/>
      <c r="JJ157" s="25"/>
      <c r="JK157" s="25"/>
      <c r="JL157" s="25"/>
      <c r="JM157" s="25"/>
      <c r="JN157" s="25"/>
      <c r="JO157" s="25"/>
      <c r="JP157" s="25"/>
      <c r="JQ157" s="25"/>
      <c r="JR157" s="25"/>
      <c r="JS157" s="25"/>
      <c r="JT157" s="25"/>
      <c r="JU157" s="25"/>
      <c r="JV157" s="25"/>
      <c r="JW157" s="25"/>
      <c r="JX157" s="25"/>
      <c r="JY157" s="25"/>
      <c r="JZ157" s="25"/>
      <c r="KA157" s="25"/>
      <c r="KB157" s="25"/>
      <c r="KC157" s="25"/>
      <c r="KD157" s="25"/>
      <c r="KE157" s="25"/>
      <c r="KF157" s="25"/>
      <c r="KG157" s="25"/>
      <c r="KH157" s="25"/>
      <c r="KI157" s="25"/>
      <c r="KJ157" s="25"/>
      <c r="KK157" s="25"/>
      <c r="KL157" s="25"/>
      <c r="KM157" s="25"/>
      <c r="KN157" s="25"/>
      <c r="KO157" s="25"/>
      <c r="KP157" s="25"/>
      <c r="KQ157" s="25"/>
      <c r="KR157" s="25"/>
      <c r="KS157" s="25"/>
      <c r="KT157" s="25"/>
      <c r="KU157" s="25"/>
      <c r="KV157" s="25"/>
      <c r="KW157" s="25"/>
      <c r="KX157" s="25"/>
      <c r="KY157" s="25"/>
      <c r="KZ157" s="25"/>
      <c r="LA157" s="25"/>
      <c r="LB157" s="25"/>
      <c r="LC157" s="25"/>
      <c r="LD157" s="25"/>
      <c r="LE157" s="25"/>
      <c r="LF157" s="25"/>
      <c r="LG157" s="25"/>
      <c r="LH157" s="25"/>
      <c r="LI157" s="25"/>
      <c r="LJ157" s="25"/>
      <c r="LK157" s="25"/>
      <c r="LL157" s="25"/>
      <c r="LM157" s="25"/>
      <c r="LN157" s="25"/>
      <c r="LO157" s="25"/>
      <c r="LP157" s="25"/>
      <c r="LQ157" s="25"/>
      <c r="LR157" s="25"/>
      <c r="LS157" s="25"/>
      <c r="LT157" s="25"/>
      <c r="LU157" s="25"/>
      <c r="LV157" s="25"/>
      <c r="LW157" s="25"/>
      <c r="LX157" s="25"/>
      <c r="LY157" s="25"/>
      <c r="LZ157" s="25"/>
      <c r="MA157" s="25"/>
      <c r="MB157" s="25"/>
      <c r="MC157" s="25"/>
      <c r="MD157" s="25"/>
      <c r="ME157" s="25"/>
      <c r="MF157" s="25"/>
      <c r="MG157" s="25"/>
      <c r="MH157" s="25"/>
      <c r="MI157" s="25"/>
      <c r="MJ157" s="25"/>
      <c r="MK157" s="25"/>
      <c r="ML157" s="25"/>
      <c r="MM157" s="25"/>
      <c r="MN157" s="25"/>
      <c r="MO157" s="25"/>
      <c r="MP157" s="25"/>
      <c r="MQ157" s="25"/>
      <c r="MR157" s="25"/>
      <c r="MS157" s="25"/>
      <c r="MT157" s="25"/>
      <c r="MU157" s="25"/>
      <c r="MV157" s="25"/>
      <c r="MW157" s="25"/>
      <c r="MX157" s="25"/>
      <c r="MY157" s="25"/>
      <c r="MZ157" s="25"/>
      <c r="NA157" s="25"/>
      <c r="NB157" s="25"/>
      <c r="NC157" s="25"/>
      <c r="ND157" s="25"/>
      <c r="NE157" s="33"/>
    </row>
    <row r="158" spans="1:427" ht="13.5" customHeight="1" x14ac:dyDescent="0.2">
      <c r="A158" s="28"/>
      <c r="B158" s="22"/>
      <c r="C158" s="26"/>
      <c r="D158" s="44"/>
      <c r="E158" s="23"/>
      <c r="F158" s="24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  <c r="BL158" s="25"/>
      <c r="BM158" s="25"/>
      <c r="BN158" s="25"/>
      <c r="BO158" s="25"/>
      <c r="BP158" s="25"/>
      <c r="BQ158" s="25"/>
      <c r="BR158" s="25"/>
      <c r="BS158" s="25"/>
      <c r="BT158" s="25"/>
      <c r="BU158" s="25"/>
      <c r="BV158" s="25"/>
      <c r="BW158" s="25"/>
      <c r="BX158" s="25"/>
      <c r="BY158" s="25"/>
      <c r="BZ158" s="25"/>
      <c r="CA158" s="25"/>
      <c r="CB158" s="25"/>
      <c r="CC158" s="25"/>
      <c r="CD158" s="25"/>
      <c r="CE158" s="25"/>
      <c r="CF158" s="25"/>
      <c r="CG158" s="25"/>
      <c r="CH158" s="25"/>
      <c r="CI158" s="25"/>
      <c r="CJ158" s="25"/>
      <c r="CK158" s="25"/>
      <c r="CL158" s="25"/>
      <c r="CM158" s="25"/>
      <c r="CN158" s="25"/>
      <c r="CO158" s="25"/>
      <c r="CP158" s="25"/>
      <c r="CQ158" s="25"/>
      <c r="CR158" s="25"/>
      <c r="CS158" s="25"/>
      <c r="CT158" s="25"/>
      <c r="CU158" s="25"/>
      <c r="CV158" s="25"/>
      <c r="CW158" s="25"/>
      <c r="CX158" s="25"/>
      <c r="CY158" s="25"/>
      <c r="CZ158" s="25"/>
      <c r="DA158" s="25"/>
      <c r="DB158" s="25"/>
      <c r="DC158" s="25"/>
      <c r="DD158" s="25"/>
      <c r="DE158" s="25"/>
      <c r="DF158" s="25"/>
      <c r="DG158" s="25"/>
      <c r="DH158" s="25"/>
      <c r="DI158" s="25"/>
      <c r="DJ158" s="25"/>
      <c r="DK158" s="25"/>
      <c r="DL158" s="25"/>
      <c r="DM158" s="25"/>
      <c r="DN158" s="25"/>
      <c r="DO158" s="25"/>
      <c r="DP158" s="25"/>
      <c r="DQ158" s="25"/>
      <c r="DR158" s="25"/>
      <c r="DS158" s="25"/>
      <c r="DT158" s="25"/>
      <c r="DU158" s="25"/>
      <c r="DV158" s="25"/>
      <c r="DW158" s="25"/>
      <c r="DX158" s="25"/>
      <c r="DY158" s="25"/>
      <c r="DZ158" s="25"/>
      <c r="EA158" s="25"/>
      <c r="EB158" s="25"/>
      <c r="EC158" s="25"/>
      <c r="ED158" s="25"/>
      <c r="EE158" s="25"/>
      <c r="EF158" s="25"/>
      <c r="EG158" s="25"/>
      <c r="EH158" s="25"/>
      <c r="EI158" s="25"/>
      <c r="EJ158" s="25"/>
      <c r="EK158" s="25"/>
      <c r="EL158" s="25"/>
      <c r="EM158" s="25"/>
      <c r="EN158" s="25"/>
      <c r="EO158" s="25"/>
      <c r="EP158" s="25"/>
      <c r="EQ158" s="25"/>
      <c r="ER158" s="25"/>
      <c r="ES158" s="25"/>
      <c r="ET158" s="25"/>
      <c r="EU158" s="25"/>
      <c r="EV158" s="25"/>
      <c r="EW158" s="25"/>
      <c r="EX158" s="25"/>
      <c r="EY158" s="25"/>
      <c r="EZ158" s="25"/>
      <c r="FA158" s="25"/>
      <c r="FB158" s="25"/>
      <c r="FC158" s="25"/>
      <c r="FD158" s="25"/>
      <c r="FE158" s="25"/>
      <c r="FF158" s="25"/>
      <c r="FG158" s="25"/>
      <c r="FH158" s="25"/>
      <c r="FI158" s="25"/>
      <c r="FJ158" s="25"/>
      <c r="FK158" s="25"/>
      <c r="FL158" s="25"/>
      <c r="FM158" s="25"/>
      <c r="FN158" s="25"/>
      <c r="FO158" s="25"/>
      <c r="FP158" s="25"/>
      <c r="FQ158" s="25"/>
      <c r="FR158" s="25"/>
      <c r="FS158" s="25"/>
      <c r="FT158" s="25"/>
      <c r="FU158" s="25"/>
      <c r="FV158" s="25"/>
      <c r="FW158" s="25"/>
      <c r="FX158" s="25"/>
      <c r="FY158" s="25"/>
      <c r="FZ158" s="25"/>
      <c r="GA158" s="25"/>
      <c r="GB158" s="25"/>
      <c r="GC158" s="25"/>
      <c r="GD158" s="25"/>
      <c r="GE158" s="25"/>
      <c r="GF158" s="25"/>
      <c r="GG158" s="25"/>
      <c r="GH158" s="25"/>
      <c r="GI158" s="25"/>
      <c r="GJ158" s="25"/>
      <c r="GK158" s="25"/>
      <c r="GL158" s="25"/>
      <c r="GM158" s="25"/>
      <c r="GN158" s="25"/>
      <c r="GO158" s="25"/>
      <c r="GP158" s="25"/>
      <c r="GQ158" s="25"/>
      <c r="GR158" s="25"/>
      <c r="GS158" s="25"/>
      <c r="GT158" s="25"/>
      <c r="GU158" s="25"/>
      <c r="GV158" s="25"/>
      <c r="GW158" s="25"/>
      <c r="GX158" s="25"/>
      <c r="GY158" s="25"/>
      <c r="GZ158" s="25"/>
      <c r="HA158" s="25"/>
      <c r="HB158" s="25"/>
      <c r="HC158" s="25"/>
      <c r="HD158" s="25"/>
      <c r="HE158" s="25"/>
      <c r="HF158" s="25"/>
      <c r="HG158" s="25"/>
      <c r="HH158" s="25"/>
      <c r="HI158" s="25"/>
      <c r="HJ158" s="25"/>
      <c r="HK158" s="25"/>
      <c r="HL158" s="25"/>
      <c r="HM158" s="25"/>
      <c r="HN158" s="25"/>
      <c r="HO158" s="25"/>
      <c r="HP158" s="25"/>
      <c r="HQ158" s="25"/>
      <c r="HR158" s="25"/>
      <c r="HS158" s="25"/>
      <c r="HT158" s="25"/>
      <c r="HU158" s="25"/>
      <c r="HV158" s="25"/>
      <c r="HW158" s="25"/>
      <c r="HX158" s="25"/>
      <c r="HY158" s="25"/>
      <c r="HZ158" s="25"/>
      <c r="IA158" s="25"/>
      <c r="IB158" s="25"/>
      <c r="IC158" s="25"/>
      <c r="ID158" s="25"/>
      <c r="IE158" s="25"/>
      <c r="IF158" s="25"/>
      <c r="IG158" s="25"/>
      <c r="IH158" s="25"/>
      <c r="II158" s="25"/>
      <c r="IJ158" s="25"/>
      <c r="IK158" s="25"/>
      <c r="IL158" s="25"/>
      <c r="IM158" s="25"/>
      <c r="IN158" s="25"/>
      <c r="IO158" s="25"/>
      <c r="IP158" s="25"/>
      <c r="IQ158" s="25"/>
      <c r="IR158" s="25"/>
      <c r="IS158" s="25"/>
      <c r="IT158" s="25"/>
      <c r="IU158" s="25"/>
      <c r="IV158" s="25"/>
      <c r="IW158" s="25"/>
      <c r="IX158" s="25"/>
      <c r="IY158" s="25"/>
      <c r="IZ158" s="25"/>
      <c r="JA158" s="25"/>
      <c r="JB158" s="25"/>
      <c r="JC158" s="25"/>
      <c r="JD158" s="25"/>
      <c r="JE158" s="25"/>
      <c r="JF158" s="25"/>
      <c r="JG158" s="25"/>
      <c r="JH158" s="25"/>
      <c r="JI158" s="25"/>
      <c r="JJ158" s="25"/>
      <c r="JK158" s="25"/>
      <c r="JL158" s="25"/>
      <c r="JM158" s="25"/>
      <c r="JN158" s="25"/>
      <c r="JO158" s="25"/>
      <c r="JP158" s="25"/>
      <c r="JQ158" s="25"/>
      <c r="JR158" s="25"/>
      <c r="JS158" s="25"/>
      <c r="JT158" s="25"/>
      <c r="JU158" s="25"/>
      <c r="JV158" s="25"/>
      <c r="JW158" s="25"/>
      <c r="JX158" s="25"/>
      <c r="JY158" s="25"/>
      <c r="JZ158" s="25"/>
      <c r="KA158" s="25"/>
      <c r="KB158" s="25"/>
      <c r="KC158" s="25"/>
      <c r="KD158" s="25"/>
      <c r="KE158" s="25"/>
      <c r="KF158" s="25"/>
      <c r="KG158" s="25"/>
      <c r="KH158" s="25"/>
      <c r="KI158" s="25"/>
      <c r="KJ158" s="25"/>
      <c r="KK158" s="25"/>
      <c r="KL158" s="25"/>
      <c r="KM158" s="25"/>
      <c r="KN158" s="25"/>
      <c r="KO158" s="25"/>
      <c r="KP158" s="25"/>
      <c r="KQ158" s="25"/>
      <c r="KR158" s="25"/>
      <c r="KS158" s="25"/>
      <c r="KT158" s="25"/>
      <c r="KU158" s="25"/>
      <c r="KV158" s="25"/>
      <c r="KW158" s="25"/>
      <c r="KX158" s="25"/>
      <c r="KY158" s="25"/>
      <c r="KZ158" s="25"/>
      <c r="LA158" s="25"/>
      <c r="LB158" s="25"/>
      <c r="LC158" s="25"/>
      <c r="LD158" s="25"/>
      <c r="LE158" s="25"/>
      <c r="LF158" s="25"/>
      <c r="LG158" s="25"/>
      <c r="LH158" s="25"/>
      <c r="LI158" s="25"/>
      <c r="LJ158" s="25"/>
      <c r="LK158" s="25"/>
      <c r="LL158" s="25"/>
      <c r="LM158" s="25"/>
      <c r="LN158" s="25"/>
      <c r="LO158" s="25"/>
      <c r="LP158" s="25"/>
      <c r="LQ158" s="25"/>
      <c r="LR158" s="25"/>
      <c r="LS158" s="25"/>
      <c r="LT158" s="25"/>
      <c r="LU158" s="25"/>
      <c r="LV158" s="25"/>
      <c r="LW158" s="25"/>
      <c r="LX158" s="25"/>
      <c r="LY158" s="25"/>
      <c r="LZ158" s="25"/>
      <c r="MA158" s="25"/>
      <c r="MB158" s="25"/>
      <c r="MC158" s="25"/>
      <c r="MD158" s="25"/>
      <c r="ME158" s="25"/>
      <c r="MF158" s="25"/>
      <c r="MG158" s="25"/>
      <c r="MH158" s="25"/>
      <c r="MI158" s="25"/>
      <c r="MJ158" s="25"/>
      <c r="MK158" s="25"/>
      <c r="ML158" s="25"/>
      <c r="MM158" s="25"/>
      <c r="MN158" s="25"/>
      <c r="MO158" s="25"/>
      <c r="MP158" s="25"/>
      <c r="MQ158" s="25"/>
      <c r="MR158" s="25"/>
      <c r="MS158" s="25"/>
      <c r="MT158" s="25"/>
      <c r="MU158" s="25"/>
      <c r="MV158" s="25"/>
      <c r="MW158" s="25"/>
      <c r="MX158" s="25"/>
      <c r="MY158" s="25"/>
      <c r="MZ158" s="25"/>
      <c r="NA158" s="25"/>
      <c r="NB158" s="25"/>
      <c r="NC158" s="25"/>
      <c r="ND158" s="25"/>
      <c r="NE158" s="33"/>
      <c r="OG158" s="18">
        <v>1</v>
      </c>
      <c r="OH158" s="18">
        <v>43336</v>
      </c>
      <c r="OI158" s="18">
        <v>43388</v>
      </c>
      <c r="PJ158" s="20" t="s">
        <v>11</v>
      </c>
      <c r="PK158" s="20">
        <v>106</v>
      </c>
    </row>
    <row r="159" spans="1:427" ht="13.5" customHeight="1" x14ac:dyDescent="0.2">
      <c r="A159" s="28"/>
      <c r="B159" s="22"/>
      <c r="C159" s="26"/>
      <c r="D159" s="44"/>
      <c r="E159" s="23"/>
      <c r="F159" s="24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  <c r="BL159" s="25"/>
      <c r="BM159" s="25"/>
      <c r="BN159" s="25"/>
      <c r="BO159" s="25"/>
      <c r="BP159" s="25"/>
      <c r="BQ159" s="25"/>
      <c r="BR159" s="25"/>
      <c r="BS159" s="25"/>
      <c r="BT159" s="25"/>
      <c r="BU159" s="25"/>
      <c r="BV159" s="25"/>
      <c r="BW159" s="25"/>
      <c r="BX159" s="25"/>
      <c r="BY159" s="25"/>
      <c r="BZ159" s="25"/>
      <c r="CA159" s="25"/>
      <c r="CB159" s="25"/>
      <c r="CC159" s="25"/>
      <c r="CD159" s="25"/>
      <c r="CE159" s="25"/>
      <c r="CF159" s="25"/>
      <c r="CG159" s="25"/>
      <c r="CH159" s="25"/>
      <c r="CI159" s="25"/>
      <c r="CJ159" s="25"/>
      <c r="CK159" s="25"/>
      <c r="CL159" s="25"/>
      <c r="CM159" s="25"/>
      <c r="CN159" s="25"/>
      <c r="CO159" s="25"/>
      <c r="CP159" s="25"/>
      <c r="CQ159" s="25"/>
      <c r="CR159" s="25"/>
      <c r="CS159" s="25"/>
      <c r="CT159" s="25"/>
      <c r="CU159" s="25"/>
      <c r="CV159" s="25"/>
      <c r="CW159" s="25"/>
      <c r="CX159" s="25"/>
      <c r="CY159" s="25"/>
      <c r="CZ159" s="25"/>
      <c r="DA159" s="25"/>
      <c r="DB159" s="25"/>
      <c r="DC159" s="25"/>
      <c r="DD159" s="25"/>
      <c r="DE159" s="25"/>
      <c r="DF159" s="25"/>
      <c r="DG159" s="25"/>
      <c r="DH159" s="25"/>
      <c r="DI159" s="25"/>
      <c r="DJ159" s="25"/>
      <c r="DK159" s="25"/>
      <c r="DL159" s="25"/>
      <c r="DM159" s="25"/>
      <c r="DN159" s="25"/>
      <c r="DO159" s="25"/>
      <c r="DP159" s="25"/>
      <c r="DQ159" s="25"/>
      <c r="DR159" s="25"/>
      <c r="DS159" s="25"/>
      <c r="DT159" s="25"/>
      <c r="DU159" s="25"/>
      <c r="DV159" s="25"/>
      <c r="DW159" s="25"/>
      <c r="DX159" s="25"/>
      <c r="DY159" s="25"/>
      <c r="DZ159" s="25"/>
      <c r="EA159" s="25"/>
      <c r="EB159" s="25"/>
      <c r="EC159" s="25"/>
      <c r="ED159" s="25"/>
      <c r="EE159" s="25"/>
      <c r="EF159" s="25"/>
      <c r="EG159" s="25"/>
      <c r="EH159" s="25"/>
      <c r="EI159" s="25"/>
      <c r="EJ159" s="25"/>
      <c r="EK159" s="25"/>
      <c r="EL159" s="25"/>
      <c r="EM159" s="25"/>
      <c r="EN159" s="25"/>
      <c r="EO159" s="25"/>
      <c r="EP159" s="25"/>
      <c r="EQ159" s="25"/>
      <c r="ER159" s="25"/>
      <c r="ES159" s="25"/>
      <c r="ET159" s="25"/>
      <c r="EU159" s="25"/>
      <c r="EV159" s="25"/>
      <c r="EW159" s="25"/>
      <c r="EX159" s="25"/>
      <c r="EY159" s="25"/>
      <c r="EZ159" s="25"/>
      <c r="FA159" s="25"/>
      <c r="FB159" s="25"/>
      <c r="FC159" s="25"/>
      <c r="FD159" s="25"/>
      <c r="FE159" s="25"/>
      <c r="FF159" s="25"/>
      <c r="FG159" s="25"/>
      <c r="FH159" s="25"/>
      <c r="FI159" s="25"/>
      <c r="FJ159" s="25"/>
      <c r="FK159" s="25"/>
      <c r="FL159" s="25"/>
      <c r="FM159" s="25"/>
      <c r="FN159" s="25"/>
      <c r="FO159" s="25"/>
      <c r="FP159" s="25"/>
      <c r="FQ159" s="25"/>
      <c r="FR159" s="25"/>
      <c r="FS159" s="25"/>
      <c r="FT159" s="25"/>
      <c r="FU159" s="25"/>
      <c r="FV159" s="25"/>
      <c r="FW159" s="25"/>
      <c r="FX159" s="25"/>
      <c r="FY159" s="25"/>
      <c r="FZ159" s="25"/>
      <c r="GA159" s="25"/>
      <c r="GB159" s="25"/>
      <c r="GC159" s="25"/>
      <c r="GD159" s="25"/>
      <c r="GE159" s="25"/>
      <c r="GF159" s="25"/>
      <c r="GG159" s="25"/>
      <c r="GH159" s="25"/>
      <c r="GI159" s="25"/>
      <c r="GJ159" s="25"/>
      <c r="GK159" s="25"/>
      <c r="GL159" s="25"/>
      <c r="GM159" s="25"/>
      <c r="GN159" s="25"/>
      <c r="GO159" s="25"/>
      <c r="GP159" s="25"/>
      <c r="GQ159" s="25"/>
      <c r="GR159" s="25"/>
      <c r="GS159" s="25"/>
      <c r="GT159" s="25"/>
      <c r="GU159" s="25"/>
      <c r="GV159" s="25"/>
      <c r="GW159" s="25"/>
      <c r="GX159" s="25"/>
      <c r="GY159" s="25"/>
      <c r="GZ159" s="25"/>
      <c r="HA159" s="25"/>
      <c r="HB159" s="25"/>
      <c r="HC159" s="25"/>
      <c r="HD159" s="25"/>
      <c r="HE159" s="25"/>
      <c r="HF159" s="25"/>
      <c r="HG159" s="25"/>
      <c r="HH159" s="25"/>
      <c r="HI159" s="25"/>
      <c r="HJ159" s="25"/>
      <c r="HK159" s="25"/>
      <c r="HL159" s="25"/>
      <c r="HM159" s="25"/>
      <c r="HN159" s="25"/>
      <c r="HO159" s="25"/>
      <c r="HP159" s="25"/>
      <c r="HQ159" s="25"/>
      <c r="HR159" s="25"/>
      <c r="HS159" s="25"/>
      <c r="HT159" s="25"/>
      <c r="HU159" s="25"/>
      <c r="HV159" s="25"/>
      <c r="HW159" s="25"/>
      <c r="HX159" s="25"/>
      <c r="HY159" s="25"/>
      <c r="HZ159" s="25"/>
      <c r="IA159" s="25"/>
      <c r="IB159" s="25"/>
      <c r="IC159" s="25"/>
      <c r="ID159" s="25"/>
      <c r="IE159" s="25"/>
      <c r="IF159" s="25"/>
      <c r="IG159" s="25"/>
      <c r="IH159" s="25"/>
      <c r="II159" s="25"/>
      <c r="IJ159" s="25"/>
      <c r="IK159" s="25"/>
      <c r="IL159" s="25"/>
      <c r="IM159" s="25"/>
      <c r="IN159" s="25"/>
      <c r="IO159" s="25"/>
      <c r="IP159" s="25"/>
      <c r="IQ159" s="25"/>
      <c r="IR159" s="25"/>
      <c r="IS159" s="25"/>
      <c r="IT159" s="25"/>
      <c r="IU159" s="25"/>
      <c r="IV159" s="25"/>
      <c r="IW159" s="25"/>
      <c r="IX159" s="25"/>
      <c r="IY159" s="25"/>
      <c r="IZ159" s="25"/>
      <c r="JA159" s="25"/>
      <c r="JB159" s="25"/>
      <c r="JC159" s="25"/>
      <c r="JD159" s="25"/>
      <c r="JE159" s="25"/>
      <c r="JF159" s="25"/>
      <c r="JG159" s="25"/>
      <c r="JH159" s="25"/>
      <c r="JI159" s="25"/>
      <c r="JJ159" s="25"/>
      <c r="JK159" s="25"/>
      <c r="JL159" s="25"/>
      <c r="JM159" s="25"/>
      <c r="JN159" s="25"/>
      <c r="JO159" s="25"/>
      <c r="JP159" s="25"/>
      <c r="JQ159" s="25"/>
      <c r="JR159" s="25"/>
      <c r="JS159" s="25"/>
      <c r="JT159" s="25"/>
      <c r="JU159" s="25"/>
      <c r="JV159" s="25"/>
      <c r="JW159" s="25"/>
      <c r="JX159" s="25"/>
      <c r="JY159" s="25"/>
      <c r="JZ159" s="25"/>
      <c r="KA159" s="25"/>
      <c r="KB159" s="25"/>
      <c r="KC159" s="25"/>
      <c r="KD159" s="25"/>
      <c r="KE159" s="25"/>
      <c r="KF159" s="25"/>
      <c r="KG159" s="25"/>
      <c r="KH159" s="25"/>
      <c r="KI159" s="25"/>
      <c r="KJ159" s="25"/>
      <c r="KK159" s="25"/>
      <c r="KL159" s="25"/>
      <c r="KM159" s="25"/>
      <c r="KN159" s="25"/>
      <c r="KO159" s="25"/>
      <c r="KP159" s="25"/>
      <c r="KQ159" s="25"/>
      <c r="KR159" s="25"/>
      <c r="KS159" s="25"/>
      <c r="KT159" s="25"/>
      <c r="KU159" s="25"/>
      <c r="KV159" s="25"/>
      <c r="KW159" s="25"/>
      <c r="KX159" s="25"/>
      <c r="KY159" s="25"/>
      <c r="KZ159" s="25"/>
      <c r="LA159" s="25"/>
      <c r="LB159" s="25"/>
      <c r="LC159" s="25"/>
      <c r="LD159" s="25"/>
      <c r="LE159" s="25"/>
      <c r="LF159" s="25"/>
      <c r="LG159" s="25"/>
      <c r="LH159" s="25"/>
      <c r="LI159" s="25"/>
      <c r="LJ159" s="25"/>
      <c r="LK159" s="25"/>
      <c r="LL159" s="25"/>
      <c r="LM159" s="25"/>
      <c r="LN159" s="25"/>
      <c r="LO159" s="25"/>
      <c r="LP159" s="25"/>
      <c r="LQ159" s="25"/>
      <c r="LR159" s="25"/>
      <c r="LS159" s="25"/>
      <c r="LT159" s="25"/>
      <c r="LU159" s="25"/>
      <c r="LV159" s="25"/>
      <c r="LW159" s="25"/>
      <c r="LX159" s="25"/>
      <c r="LY159" s="25"/>
      <c r="LZ159" s="25"/>
      <c r="MA159" s="25"/>
      <c r="MB159" s="25"/>
      <c r="MC159" s="25"/>
      <c r="MD159" s="25"/>
      <c r="ME159" s="25"/>
      <c r="MF159" s="25"/>
      <c r="MG159" s="25"/>
      <c r="MH159" s="25"/>
      <c r="MI159" s="25"/>
      <c r="MJ159" s="25"/>
      <c r="MK159" s="25"/>
      <c r="ML159" s="25"/>
      <c r="MM159" s="25"/>
      <c r="MN159" s="25"/>
      <c r="MO159" s="25"/>
      <c r="MP159" s="25"/>
      <c r="MQ159" s="25"/>
      <c r="MR159" s="25"/>
      <c r="MS159" s="25"/>
      <c r="MT159" s="25"/>
      <c r="MU159" s="25"/>
      <c r="MV159" s="25"/>
      <c r="MW159" s="25"/>
      <c r="MX159" s="25"/>
      <c r="MY159" s="25"/>
      <c r="MZ159" s="25"/>
      <c r="NA159" s="25"/>
      <c r="NB159" s="25"/>
      <c r="NC159" s="25"/>
      <c r="ND159" s="25"/>
      <c r="NE159" s="33"/>
      <c r="OG159" s="18">
        <v>1</v>
      </c>
      <c r="OH159" s="18">
        <v>43196</v>
      </c>
      <c r="OI159" s="18">
        <v>43248</v>
      </c>
      <c r="PJ159" s="20" t="s">
        <v>11</v>
      </c>
      <c r="PK159" s="20">
        <v>106</v>
      </c>
    </row>
    <row r="160" spans="1:427" ht="0.75" customHeight="1" x14ac:dyDescent="0.2">
      <c r="A160" s="28"/>
      <c r="B160" s="22"/>
      <c r="C160" s="22"/>
      <c r="D160" s="44"/>
      <c r="E160" s="23"/>
      <c r="F160" s="24" t="s">
        <v>10</v>
      </c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  <c r="BN160" s="25"/>
      <c r="BO160" s="25"/>
      <c r="BP160" s="25"/>
      <c r="BQ160" s="25"/>
      <c r="BR160" s="25"/>
      <c r="BS160" s="25"/>
      <c r="BT160" s="25"/>
      <c r="BU160" s="25"/>
      <c r="BV160" s="25"/>
      <c r="BW160" s="25"/>
      <c r="BX160" s="25"/>
      <c r="BY160" s="25"/>
      <c r="BZ160" s="25"/>
      <c r="CA160" s="25"/>
      <c r="CB160" s="25"/>
      <c r="CC160" s="25"/>
      <c r="CD160" s="25"/>
      <c r="CE160" s="25"/>
      <c r="CF160" s="25"/>
      <c r="CG160" s="25"/>
      <c r="CH160" s="25"/>
      <c r="CI160" s="25"/>
      <c r="CJ160" s="25"/>
      <c r="CK160" s="25"/>
      <c r="CL160" s="25"/>
      <c r="CM160" s="25"/>
      <c r="CN160" s="25"/>
      <c r="CO160" s="25"/>
      <c r="CP160" s="25"/>
      <c r="CQ160" s="25"/>
      <c r="CR160" s="25"/>
      <c r="CS160" s="25"/>
      <c r="CT160" s="25"/>
      <c r="CU160" s="25"/>
      <c r="CV160" s="25"/>
      <c r="CW160" s="25"/>
      <c r="CX160" s="25"/>
      <c r="CY160" s="25"/>
      <c r="CZ160" s="25"/>
      <c r="DA160" s="25"/>
      <c r="DB160" s="25"/>
      <c r="DC160" s="25"/>
      <c r="DD160" s="25"/>
      <c r="DE160" s="25"/>
      <c r="DF160" s="25"/>
      <c r="DG160" s="25"/>
      <c r="DH160" s="25"/>
      <c r="DI160" s="25"/>
      <c r="DJ160" s="25"/>
      <c r="DK160" s="25"/>
      <c r="DL160" s="25"/>
      <c r="DM160" s="25"/>
      <c r="DN160" s="25"/>
      <c r="DO160" s="25"/>
      <c r="DP160" s="25"/>
      <c r="DQ160" s="25"/>
      <c r="DR160" s="25"/>
      <c r="DS160" s="25"/>
      <c r="DT160" s="25"/>
      <c r="DU160" s="25"/>
      <c r="DV160" s="25"/>
      <c r="DW160" s="25"/>
      <c r="DX160" s="25"/>
      <c r="DY160" s="25"/>
      <c r="DZ160" s="25"/>
      <c r="EA160" s="25"/>
      <c r="EB160" s="25"/>
      <c r="EC160" s="25"/>
      <c r="ED160" s="25"/>
      <c r="EE160" s="25"/>
      <c r="EF160" s="25"/>
      <c r="EG160" s="25"/>
      <c r="EH160" s="25"/>
      <c r="EI160" s="25"/>
      <c r="EJ160" s="25"/>
      <c r="EK160" s="25"/>
      <c r="EL160" s="25"/>
      <c r="EM160" s="25"/>
      <c r="EN160" s="25"/>
      <c r="EO160" s="25"/>
      <c r="EP160" s="25"/>
      <c r="EQ160" s="25"/>
      <c r="ER160" s="25"/>
      <c r="ES160" s="25"/>
      <c r="ET160" s="25"/>
      <c r="EU160" s="25"/>
      <c r="EV160" s="25"/>
      <c r="EW160" s="25"/>
      <c r="EX160" s="25"/>
      <c r="EY160" s="25"/>
      <c r="EZ160" s="25"/>
      <c r="FA160" s="25"/>
      <c r="FB160" s="25"/>
      <c r="FC160" s="25"/>
      <c r="FD160" s="25"/>
      <c r="FE160" s="25"/>
      <c r="FF160" s="25"/>
      <c r="FG160" s="25"/>
      <c r="FH160" s="25"/>
      <c r="FI160" s="25"/>
      <c r="FJ160" s="25"/>
      <c r="FK160" s="25"/>
      <c r="FL160" s="25"/>
      <c r="FM160" s="25"/>
      <c r="FN160" s="25"/>
      <c r="FO160" s="25"/>
      <c r="FP160" s="25"/>
      <c r="FQ160" s="25"/>
      <c r="FR160" s="25"/>
      <c r="FS160" s="25"/>
      <c r="FT160" s="25"/>
      <c r="FU160" s="25"/>
      <c r="FV160" s="25"/>
      <c r="FW160" s="25"/>
      <c r="FX160" s="25"/>
      <c r="FY160" s="25"/>
      <c r="FZ160" s="25"/>
      <c r="GA160" s="25"/>
      <c r="GB160" s="25"/>
      <c r="GC160" s="25"/>
      <c r="GD160" s="25"/>
      <c r="GE160" s="25"/>
      <c r="GF160" s="25"/>
      <c r="GG160" s="25"/>
      <c r="GH160" s="25"/>
      <c r="GI160" s="25"/>
      <c r="GJ160" s="25"/>
      <c r="GK160" s="25"/>
      <c r="GL160" s="25"/>
      <c r="GM160" s="25"/>
      <c r="GN160" s="25"/>
      <c r="GO160" s="25"/>
      <c r="GP160" s="25"/>
      <c r="GQ160" s="25"/>
      <c r="GR160" s="25"/>
      <c r="GS160" s="25"/>
      <c r="GT160" s="25"/>
      <c r="GU160" s="25"/>
      <c r="GV160" s="25"/>
      <c r="GW160" s="25"/>
      <c r="GX160" s="25"/>
      <c r="GY160" s="25"/>
      <c r="GZ160" s="25"/>
      <c r="HA160" s="25"/>
      <c r="HB160" s="25"/>
      <c r="HC160" s="25"/>
      <c r="HD160" s="25"/>
      <c r="HE160" s="25"/>
      <c r="HF160" s="25"/>
      <c r="HG160" s="25"/>
      <c r="HH160" s="25"/>
      <c r="HI160" s="25"/>
      <c r="HJ160" s="25"/>
      <c r="HK160" s="25"/>
      <c r="HL160" s="25"/>
      <c r="HM160" s="25"/>
      <c r="HN160" s="25"/>
      <c r="HO160" s="25"/>
      <c r="HP160" s="25"/>
      <c r="HQ160" s="25"/>
      <c r="HR160" s="25"/>
      <c r="HS160" s="25"/>
      <c r="HT160" s="25"/>
      <c r="HU160" s="25"/>
      <c r="HV160" s="25"/>
      <c r="HW160" s="25"/>
      <c r="HX160" s="25"/>
      <c r="HY160" s="25"/>
      <c r="HZ160" s="25"/>
      <c r="IA160" s="25"/>
      <c r="IB160" s="25"/>
      <c r="IC160" s="25"/>
      <c r="ID160" s="25"/>
      <c r="IE160" s="25"/>
      <c r="IF160" s="25"/>
      <c r="IG160" s="25"/>
      <c r="IH160" s="25"/>
      <c r="II160" s="25"/>
      <c r="IJ160" s="25"/>
      <c r="IK160" s="25"/>
      <c r="IL160" s="25"/>
      <c r="IM160" s="25"/>
      <c r="IN160" s="25"/>
      <c r="IO160" s="25"/>
      <c r="IP160" s="25"/>
      <c r="IQ160" s="25"/>
      <c r="IR160" s="25"/>
      <c r="IS160" s="25"/>
      <c r="IT160" s="25"/>
      <c r="IU160" s="25"/>
      <c r="IV160" s="25"/>
      <c r="IW160" s="25"/>
      <c r="IX160" s="25"/>
      <c r="IY160" s="25"/>
      <c r="IZ160" s="25"/>
      <c r="JA160" s="25"/>
      <c r="JB160" s="25"/>
      <c r="JC160" s="25"/>
      <c r="JD160" s="25"/>
      <c r="JE160" s="25"/>
      <c r="JF160" s="25"/>
      <c r="JG160" s="25"/>
      <c r="JH160" s="25"/>
      <c r="JI160" s="25"/>
      <c r="JJ160" s="25"/>
      <c r="JK160" s="25"/>
      <c r="JL160" s="25"/>
      <c r="JM160" s="25"/>
      <c r="JN160" s="25"/>
      <c r="JO160" s="25"/>
      <c r="JP160" s="25"/>
      <c r="JQ160" s="25"/>
      <c r="JR160" s="25"/>
      <c r="JS160" s="25"/>
      <c r="JT160" s="25"/>
      <c r="JU160" s="25"/>
      <c r="JV160" s="25"/>
      <c r="JW160" s="25"/>
      <c r="JX160" s="25"/>
      <c r="JY160" s="25"/>
      <c r="JZ160" s="25"/>
      <c r="KA160" s="25"/>
      <c r="KB160" s="25"/>
      <c r="KC160" s="25"/>
      <c r="KD160" s="25"/>
      <c r="KE160" s="25"/>
      <c r="KF160" s="25"/>
      <c r="KG160" s="25"/>
      <c r="KH160" s="25"/>
      <c r="KI160" s="25"/>
      <c r="KJ160" s="25"/>
      <c r="KK160" s="25"/>
      <c r="KL160" s="25"/>
      <c r="KM160" s="25"/>
      <c r="KN160" s="25"/>
      <c r="KO160" s="25"/>
      <c r="KP160" s="25"/>
      <c r="KQ160" s="25"/>
      <c r="KR160" s="25"/>
      <c r="KS160" s="25"/>
      <c r="KT160" s="25"/>
      <c r="KU160" s="25"/>
      <c r="KV160" s="25"/>
      <c r="KW160" s="25"/>
      <c r="KX160" s="25"/>
      <c r="KY160" s="25"/>
      <c r="KZ160" s="25"/>
      <c r="LA160" s="25"/>
      <c r="LB160" s="25"/>
      <c r="LC160" s="25"/>
      <c r="LD160" s="25"/>
      <c r="LE160" s="25"/>
      <c r="LF160" s="25"/>
      <c r="LG160" s="25"/>
      <c r="LH160" s="25"/>
      <c r="LI160" s="25"/>
      <c r="LJ160" s="25"/>
      <c r="LK160" s="25"/>
      <c r="LL160" s="25"/>
      <c r="LM160" s="25"/>
      <c r="LN160" s="25"/>
      <c r="LO160" s="25"/>
      <c r="LP160" s="25"/>
      <c r="LQ160" s="25"/>
      <c r="LR160" s="25"/>
      <c r="LS160" s="25"/>
      <c r="LT160" s="25"/>
      <c r="LU160" s="25"/>
      <c r="LV160" s="25"/>
      <c r="LW160" s="25"/>
      <c r="LX160" s="25"/>
      <c r="LY160" s="25"/>
      <c r="LZ160" s="25"/>
      <c r="MA160" s="25"/>
      <c r="MB160" s="25"/>
      <c r="MC160" s="25"/>
      <c r="MD160" s="25"/>
      <c r="ME160" s="25"/>
      <c r="MF160" s="25"/>
      <c r="MG160" s="25"/>
      <c r="MH160" s="25"/>
      <c r="MI160" s="25"/>
      <c r="MJ160" s="25"/>
      <c r="MK160" s="25"/>
      <c r="ML160" s="25"/>
      <c r="MM160" s="25"/>
      <c r="MN160" s="25"/>
      <c r="MO160" s="25"/>
      <c r="MP160" s="25"/>
      <c r="MQ160" s="25"/>
      <c r="MR160" s="25"/>
      <c r="MS160" s="25"/>
      <c r="MT160" s="25"/>
      <c r="MU160" s="25"/>
      <c r="MV160" s="25"/>
      <c r="MW160" s="25"/>
      <c r="MX160" s="25"/>
      <c r="MY160" s="25"/>
      <c r="MZ160" s="25"/>
      <c r="NA160" s="25"/>
      <c r="NB160" s="25"/>
      <c r="NC160" s="25"/>
      <c r="ND160" s="25"/>
      <c r="NE160" s="33"/>
    </row>
    <row r="161" spans="1:427" ht="13.5" customHeight="1" x14ac:dyDescent="0.2">
      <c r="A161" s="28"/>
      <c r="B161" s="22"/>
      <c r="C161" s="26"/>
      <c r="D161" s="44"/>
      <c r="E161" s="23"/>
      <c r="F161" s="24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  <c r="BL161" s="25"/>
      <c r="BM161" s="25"/>
      <c r="BN161" s="25"/>
      <c r="BO161" s="25"/>
      <c r="BP161" s="25"/>
      <c r="BQ161" s="25"/>
      <c r="BR161" s="25"/>
      <c r="BS161" s="25"/>
      <c r="BT161" s="25"/>
      <c r="BU161" s="25"/>
      <c r="BV161" s="25"/>
      <c r="BW161" s="25"/>
      <c r="BX161" s="25"/>
      <c r="BY161" s="25"/>
      <c r="BZ161" s="25"/>
      <c r="CA161" s="25"/>
      <c r="CB161" s="25"/>
      <c r="CC161" s="25"/>
      <c r="CD161" s="25"/>
      <c r="CE161" s="25"/>
      <c r="CF161" s="25"/>
      <c r="CG161" s="25"/>
      <c r="CH161" s="25"/>
      <c r="CI161" s="25"/>
      <c r="CJ161" s="25"/>
      <c r="CK161" s="25"/>
      <c r="CL161" s="25"/>
      <c r="CM161" s="25"/>
      <c r="CN161" s="25"/>
      <c r="CO161" s="25"/>
      <c r="CP161" s="25"/>
      <c r="CQ161" s="25"/>
      <c r="CR161" s="25"/>
      <c r="CS161" s="25"/>
      <c r="CT161" s="25"/>
      <c r="CU161" s="25"/>
      <c r="CV161" s="25"/>
      <c r="CW161" s="25"/>
      <c r="CX161" s="25"/>
      <c r="CY161" s="25"/>
      <c r="CZ161" s="25"/>
      <c r="DA161" s="25"/>
      <c r="DB161" s="25"/>
      <c r="DC161" s="25"/>
      <c r="DD161" s="25"/>
      <c r="DE161" s="25"/>
      <c r="DF161" s="25"/>
      <c r="DG161" s="25"/>
      <c r="DH161" s="25"/>
      <c r="DI161" s="25"/>
      <c r="DJ161" s="25"/>
      <c r="DK161" s="25"/>
      <c r="DL161" s="25"/>
      <c r="DM161" s="25"/>
      <c r="DN161" s="25"/>
      <c r="DO161" s="25"/>
      <c r="DP161" s="25"/>
      <c r="DQ161" s="25"/>
      <c r="DR161" s="25"/>
      <c r="DS161" s="25"/>
      <c r="DT161" s="25"/>
      <c r="DU161" s="25"/>
      <c r="DV161" s="25"/>
      <c r="DW161" s="25"/>
      <c r="DX161" s="25"/>
      <c r="DY161" s="25"/>
      <c r="DZ161" s="25"/>
      <c r="EA161" s="25"/>
      <c r="EB161" s="25"/>
      <c r="EC161" s="25"/>
      <c r="ED161" s="25"/>
      <c r="EE161" s="25"/>
      <c r="EF161" s="25"/>
      <c r="EG161" s="25"/>
      <c r="EH161" s="25"/>
      <c r="EI161" s="25"/>
      <c r="EJ161" s="25"/>
      <c r="EK161" s="25"/>
      <c r="EL161" s="25"/>
      <c r="EM161" s="25"/>
      <c r="EN161" s="25"/>
      <c r="EO161" s="25"/>
      <c r="EP161" s="25"/>
      <c r="EQ161" s="25"/>
      <c r="ER161" s="25"/>
      <c r="ES161" s="25"/>
      <c r="ET161" s="25"/>
      <c r="EU161" s="25"/>
      <c r="EV161" s="25"/>
      <c r="EW161" s="25"/>
      <c r="EX161" s="25"/>
      <c r="EY161" s="25"/>
      <c r="EZ161" s="25"/>
      <c r="FA161" s="25"/>
      <c r="FB161" s="25"/>
      <c r="FC161" s="25"/>
      <c r="FD161" s="25"/>
      <c r="FE161" s="25"/>
      <c r="FF161" s="25"/>
      <c r="FG161" s="25"/>
      <c r="FH161" s="25"/>
      <c r="FI161" s="25"/>
      <c r="FJ161" s="25"/>
      <c r="FK161" s="25"/>
      <c r="FL161" s="25"/>
      <c r="FM161" s="25"/>
      <c r="FN161" s="25"/>
      <c r="FO161" s="25"/>
      <c r="FP161" s="25"/>
      <c r="FQ161" s="25"/>
      <c r="FR161" s="25"/>
      <c r="FS161" s="25"/>
      <c r="FT161" s="25"/>
      <c r="FU161" s="25"/>
      <c r="FV161" s="25"/>
      <c r="FW161" s="25"/>
      <c r="FX161" s="25"/>
      <c r="FY161" s="25"/>
      <c r="FZ161" s="25"/>
      <c r="GA161" s="25"/>
      <c r="GB161" s="25"/>
      <c r="GC161" s="25"/>
      <c r="GD161" s="25"/>
      <c r="GE161" s="25"/>
      <c r="GF161" s="25"/>
      <c r="GG161" s="25"/>
      <c r="GH161" s="25"/>
      <c r="GI161" s="25"/>
      <c r="GJ161" s="25"/>
      <c r="GK161" s="25"/>
      <c r="GL161" s="25"/>
      <c r="GM161" s="25"/>
      <c r="GN161" s="25"/>
      <c r="GO161" s="25"/>
      <c r="GP161" s="25"/>
      <c r="GQ161" s="25"/>
      <c r="GR161" s="25"/>
      <c r="GS161" s="25"/>
      <c r="GT161" s="25"/>
      <c r="GU161" s="25"/>
      <c r="GV161" s="25"/>
      <c r="GW161" s="25"/>
      <c r="GX161" s="25"/>
      <c r="GY161" s="25"/>
      <c r="GZ161" s="25"/>
      <c r="HA161" s="25"/>
      <c r="HB161" s="25"/>
      <c r="HC161" s="25"/>
      <c r="HD161" s="25"/>
      <c r="HE161" s="25"/>
      <c r="HF161" s="25"/>
      <c r="HG161" s="25"/>
      <c r="HH161" s="25"/>
      <c r="HI161" s="25"/>
      <c r="HJ161" s="25"/>
      <c r="HK161" s="25"/>
      <c r="HL161" s="25"/>
      <c r="HM161" s="25"/>
      <c r="HN161" s="25"/>
      <c r="HO161" s="25"/>
      <c r="HP161" s="25"/>
      <c r="HQ161" s="25"/>
      <c r="HR161" s="25"/>
      <c r="HS161" s="25"/>
      <c r="HT161" s="25"/>
      <c r="HU161" s="25"/>
      <c r="HV161" s="25"/>
      <c r="HW161" s="25"/>
      <c r="HX161" s="25"/>
      <c r="HY161" s="25"/>
      <c r="HZ161" s="25"/>
      <c r="IA161" s="25"/>
      <c r="IB161" s="25"/>
      <c r="IC161" s="25"/>
      <c r="ID161" s="25"/>
      <c r="IE161" s="25"/>
      <c r="IF161" s="25"/>
      <c r="IG161" s="25"/>
      <c r="IH161" s="25"/>
      <c r="II161" s="25"/>
      <c r="IJ161" s="25"/>
      <c r="IK161" s="25"/>
      <c r="IL161" s="25"/>
      <c r="IM161" s="25"/>
      <c r="IN161" s="25"/>
      <c r="IO161" s="25"/>
      <c r="IP161" s="25"/>
      <c r="IQ161" s="25"/>
      <c r="IR161" s="25"/>
      <c r="IS161" s="25"/>
      <c r="IT161" s="25"/>
      <c r="IU161" s="25"/>
      <c r="IV161" s="25"/>
      <c r="IW161" s="25"/>
      <c r="IX161" s="25"/>
      <c r="IY161" s="25"/>
      <c r="IZ161" s="25"/>
      <c r="JA161" s="25"/>
      <c r="JB161" s="25"/>
      <c r="JC161" s="25"/>
      <c r="JD161" s="25"/>
      <c r="JE161" s="25"/>
      <c r="JF161" s="25"/>
      <c r="JG161" s="25"/>
      <c r="JH161" s="25"/>
      <c r="JI161" s="25"/>
      <c r="JJ161" s="25"/>
      <c r="JK161" s="25"/>
      <c r="JL161" s="25"/>
      <c r="JM161" s="25"/>
      <c r="JN161" s="25"/>
      <c r="JO161" s="25"/>
      <c r="JP161" s="25"/>
      <c r="JQ161" s="25"/>
      <c r="JR161" s="25"/>
      <c r="JS161" s="25"/>
      <c r="JT161" s="25"/>
      <c r="JU161" s="25"/>
      <c r="JV161" s="25"/>
      <c r="JW161" s="25"/>
      <c r="JX161" s="25"/>
      <c r="JY161" s="25"/>
      <c r="JZ161" s="25"/>
      <c r="KA161" s="25"/>
      <c r="KB161" s="25"/>
      <c r="KC161" s="25"/>
      <c r="KD161" s="25"/>
      <c r="KE161" s="25"/>
      <c r="KF161" s="25"/>
      <c r="KG161" s="25"/>
      <c r="KH161" s="25"/>
      <c r="KI161" s="25"/>
      <c r="KJ161" s="25"/>
      <c r="KK161" s="25"/>
      <c r="KL161" s="25"/>
      <c r="KM161" s="25"/>
      <c r="KN161" s="25"/>
      <c r="KO161" s="25"/>
      <c r="KP161" s="25"/>
      <c r="KQ161" s="25"/>
      <c r="KR161" s="25"/>
      <c r="KS161" s="25"/>
      <c r="KT161" s="25"/>
      <c r="KU161" s="25"/>
      <c r="KV161" s="25"/>
      <c r="KW161" s="25"/>
      <c r="KX161" s="25"/>
      <c r="KY161" s="25"/>
      <c r="KZ161" s="25"/>
      <c r="LA161" s="25"/>
      <c r="LB161" s="25"/>
      <c r="LC161" s="25"/>
      <c r="LD161" s="25"/>
      <c r="LE161" s="25"/>
      <c r="LF161" s="25"/>
      <c r="LG161" s="25"/>
      <c r="LH161" s="25"/>
      <c r="LI161" s="25"/>
      <c r="LJ161" s="25"/>
      <c r="LK161" s="25"/>
      <c r="LL161" s="25"/>
      <c r="LM161" s="25"/>
      <c r="LN161" s="25"/>
      <c r="LO161" s="25"/>
      <c r="LP161" s="25"/>
      <c r="LQ161" s="25"/>
      <c r="LR161" s="25"/>
      <c r="LS161" s="25"/>
      <c r="LT161" s="25"/>
      <c r="LU161" s="25"/>
      <c r="LV161" s="25"/>
      <c r="LW161" s="25"/>
      <c r="LX161" s="25"/>
      <c r="LY161" s="25"/>
      <c r="LZ161" s="25"/>
      <c r="MA161" s="25"/>
      <c r="MB161" s="25"/>
      <c r="MC161" s="25"/>
      <c r="MD161" s="25"/>
      <c r="ME161" s="25"/>
      <c r="MF161" s="25"/>
      <c r="MG161" s="25"/>
      <c r="MH161" s="25"/>
      <c r="MI161" s="25"/>
      <c r="MJ161" s="25"/>
      <c r="MK161" s="25"/>
      <c r="ML161" s="25"/>
      <c r="MM161" s="25"/>
      <c r="MN161" s="25"/>
      <c r="MO161" s="25"/>
      <c r="MP161" s="25"/>
      <c r="MQ161" s="25"/>
      <c r="MR161" s="25"/>
      <c r="MS161" s="25"/>
      <c r="MT161" s="25"/>
      <c r="MU161" s="25"/>
      <c r="MV161" s="25"/>
      <c r="MW161" s="25"/>
      <c r="MX161" s="25"/>
      <c r="MY161" s="25"/>
      <c r="MZ161" s="25"/>
      <c r="NA161" s="25"/>
      <c r="NB161" s="25"/>
      <c r="NC161" s="25"/>
      <c r="ND161" s="25"/>
      <c r="NE161" s="33"/>
      <c r="OG161" s="18">
        <v>1</v>
      </c>
      <c r="OH161" s="18">
        <v>43336</v>
      </c>
      <c r="OI161" s="18">
        <v>43388</v>
      </c>
      <c r="PJ161" s="20" t="s">
        <v>11</v>
      </c>
      <c r="PK161" s="20">
        <v>106</v>
      </c>
    </row>
    <row r="162" spans="1:427" ht="13.5" customHeight="1" x14ac:dyDescent="0.2">
      <c r="A162" s="28"/>
      <c r="B162" s="22"/>
      <c r="C162" s="26"/>
      <c r="D162" s="44"/>
      <c r="E162" s="23"/>
      <c r="F162" s="24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  <c r="BN162" s="25"/>
      <c r="BO162" s="25"/>
      <c r="BP162" s="25"/>
      <c r="BQ162" s="25"/>
      <c r="BR162" s="25"/>
      <c r="BS162" s="25"/>
      <c r="BT162" s="25"/>
      <c r="BU162" s="25"/>
      <c r="BV162" s="25"/>
      <c r="BW162" s="25"/>
      <c r="BX162" s="25"/>
      <c r="BY162" s="25"/>
      <c r="BZ162" s="25"/>
      <c r="CA162" s="25"/>
      <c r="CB162" s="25"/>
      <c r="CC162" s="25"/>
      <c r="CD162" s="25"/>
      <c r="CE162" s="25"/>
      <c r="CF162" s="25"/>
      <c r="CG162" s="25"/>
      <c r="CH162" s="25"/>
      <c r="CI162" s="25"/>
      <c r="CJ162" s="25"/>
      <c r="CK162" s="25"/>
      <c r="CL162" s="25"/>
      <c r="CM162" s="25"/>
      <c r="CN162" s="25"/>
      <c r="CO162" s="25"/>
      <c r="CP162" s="25"/>
      <c r="CQ162" s="25"/>
      <c r="CR162" s="25"/>
      <c r="CS162" s="25"/>
      <c r="CT162" s="25"/>
      <c r="CU162" s="25"/>
      <c r="CV162" s="25"/>
      <c r="CW162" s="25"/>
      <c r="CX162" s="25"/>
      <c r="CY162" s="25"/>
      <c r="CZ162" s="25"/>
      <c r="DA162" s="25"/>
      <c r="DB162" s="25"/>
      <c r="DC162" s="25"/>
      <c r="DD162" s="25"/>
      <c r="DE162" s="25"/>
      <c r="DF162" s="25"/>
      <c r="DG162" s="25"/>
      <c r="DH162" s="25"/>
      <c r="DI162" s="25"/>
      <c r="DJ162" s="25"/>
      <c r="DK162" s="25"/>
      <c r="DL162" s="25"/>
      <c r="DM162" s="25"/>
      <c r="DN162" s="25"/>
      <c r="DO162" s="25"/>
      <c r="DP162" s="25"/>
      <c r="DQ162" s="25"/>
      <c r="DR162" s="25"/>
      <c r="DS162" s="25"/>
      <c r="DT162" s="25"/>
      <c r="DU162" s="25"/>
      <c r="DV162" s="25"/>
      <c r="DW162" s="25"/>
      <c r="DX162" s="25"/>
      <c r="DY162" s="25"/>
      <c r="DZ162" s="25"/>
      <c r="EA162" s="25"/>
      <c r="EB162" s="25"/>
      <c r="EC162" s="25"/>
      <c r="ED162" s="25"/>
      <c r="EE162" s="25"/>
      <c r="EF162" s="25"/>
      <c r="EG162" s="25"/>
      <c r="EH162" s="25"/>
      <c r="EI162" s="25"/>
      <c r="EJ162" s="25"/>
      <c r="EK162" s="25"/>
      <c r="EL162" s="25"/>
      <c r="EM162" s="25"/>
      <c r="EN162" s="25"/>
      <c r="EO162" s="25"/>
      <c r="EP162" s="25"/>
      <c r="EQ162" s="25"/>
      <c r="ER162" s="25"/>
      <c r="ES162" s="25"/>
      <c r="ET162" s="25"/>
      <c r="EU162" s="25"/>
      <c r="EV162" s="25"/>
      <c r="EW162" s="25"/>
      <c r="EX162" s="25"/>
      <c r="EY162" s="25"/>
      <c r="EZ162" s="25"/>
      <c r="FA162" s="25"/>
      <c r="FB162" s="25"/>
      <c r="FC162" s="25"/>
      <c r="FD162" s="25"/>
      <c r="FE162" s="25"/>
      <c r="FF162" s="25"/>
      <c r="FG162" s="25"/>
      <c r="FH162" s="25"/>
      <c r="FI162" s="25"/>
      <c r="FJ162" s="25"/>
      <c r="FK162" s="25"/>
      <c r="FL162" s="25"/>
      <c r="FM162" s="25"/>
      <c r="FN162" s="25"/>
      <c r="FO162" s="25"/>
      <c r="FP162" s="25"/>
      <c r="FQ162" s="25"/>
      <c r="FR162" s="25"/>
      <c r="FS162" s="25"/>
      <c r="FT162" s="25"/>
      <c r="FU162" s="25"/>
      <c r="FV162" s="25"/>
      <c r="FW162" s="25"/>
      <c r="FX162" s="25"/>
      <c r="FY162" s="25"/>
      <c r="FZ162" s="25"/>
      <c r="GA162" s="25"/>
      <c r="GB162" s="25"/>
      <c r="GC162" s="25"/>
      <c r="GD162" s="25"/>
      <c r="GE162" s="25"/>
      <c r="GF162" s="25"/>
      <c r="GG162" s="25"/>
      <c r="GH162" s="25"/>
      <c r="GI162" s="25"/>
      <c r="GJ162" s="25"/>
      <c r="GK162" s="25"/>
      <c r="GL162" s="25"/>
      <c r="GM162" s="25"/>
      <c r="GN162" s="25"/>
      <c r="GO162" s="25"/>
      <c r="GP162" s="25"/>
      <c r="GQ162" s="25"/>
      <c r="GR162" s="25"/>
      <c r="GS162" s="25"/>
      <c r="GT162" s="25"/>
      <c r="GU162" s="25"/>
      <c r="GV162" s="25"/>
      <c r="GW162" s="25"/>
      <c r="GX162" s="25"/>
      <c r="GY162" s="25"/>
      <c r="GZ162" s="25"/>
      <c r="HA162" s="25"/>
      <c r="HB162" s="25"/>
      <c r="HC162" s="25"/>
      <c r="HD162" s="25"/>
      <c r="HE162" s="25"/>
      <c r="HF162" s="25"/>
      <c r="HG162" s="25"/>
      <c r="HH162" s="25"/>
      <c r="HI162" s="25"/>
      <c r="HJ162" s="25"/>
      <c r="HK162" s="25"/>
      <c r="HL162" s="25"/>
      <c r="HM162" s="25"/>
      <c r="HN162" s="25"/>
      <c r="HO162" s="25"/>
      <c r="HP162" s="25"/>
      <c r="HQ162" s="25"/>
      <c r="HR162" s="25"/>
      <c r="HS162" s="25"/>
      <c r="HT162" s="25"/>
      <c r="HU162" s="25"/>
      <c r="HV162" s="25"/>
      <c r="HW162" s="25"/>
      <c r="HX162" s="25"/>
      <c r="HY162" s="25"/>
      <c r="HZ162" s="25"/>
      <c r="IA162" s="25"/>
      <c r="IB162" s="25"/>
      <c r="IC162" s="25"/>
      <c r="ID162" s="25"/>
      <c r="IE162" s="25"/>
      <c r="IF162" s="25"/>
      <c r="IG162" s="25"/>
      <c r="IH162" s="25"/>
      <c r="II162" s="25"/>
      <c r="IJ162" s="25"/>
      <c r="IK162" s="25"/>
      <c r="IL162" s="25"/>
      <c r="IM162" s="25"/>
      <c r="IN162" s="25"/>
      <c r="IO162" s="25"/>
      <c r="IP162" s="25"/>
      <c r="IQ162" s="25"/>
      <c r="IR162" s="25"/>
      <c r="IS162" s="25"/>
      <c r="IT162" s="25"/>
      <c r="IU162" s="25"/>
      <c r="IV162" s="25"/>
      <c r="IW162" s="25"/>
      <c r="IX162" s="25"/>
      <c r="IY162" s="25"/>
      <c r="IZ162" s="25"/>
      <c r="JA162" s="25"/>
      <c r="JB162" s="25"/>
      <c r="JC162" s="25"/>
      <c r="JD162" s="25"/>
      <c r="JE162" s="25"/>
      <c r="JF162" s="25"/>
      <c r="JG162" s="25"/>
      <c r="JH162" s="25"/>
      <c r="JI162" s="25"/>
      <c r="JJ162" s="25"/>
      <c r="JK162" s="25"/>
      <c r="JL162" s="25"/>
      <c r="JM162" s="25"/>
      <c r="JN162" s="25"/>
      <c r="JO162" s="25"/>
      <c r="JP162" s="25"/>
      <c r="JQ162" s="25"/>
      <c r="JR162" s="25"/>
      <c r="JS162" s="25"/>
      <c r="JT162" s="25"/>
      <c r="JU162" s="25"/>
      <c r="JV162" s="25"/>
      <c r="JW162" s="25"/>
      <c r="JX162" s="25"/>
      <c r="JY162" s="25"/>
      <c r="JZ162" s="25"/>
      <c r="KA162" s="25"/>
      <c r="KB162" s="25"/>
      <c r="KC162" s="25"/>
      <c r="KD162" s="25"/>
      <c r="KE162" s="25"/>
      <c r="KF162" s="25"/>
      <c r="KG162" s="25"/>
      <c r="KH162" s="25"/>
      <c r="KI162" s="25"/>
      <c r="KJ162" s="25"/>
      <c r="KK162" s="25"/>
      <c r="KL162" s="25"/>
      <c r="KM162" s="25"/>
      <c r="KN162" s="25"/>
      <c r="KO162" s="25"/>
      <c r="KP162" s="25"/>
      <c r="KQ162" s="25"/>
      <c r="KR162" s="25"/>
      <c r="KS162" s="25"/>
      <c r="KT162" s="25"/>
      <c r="KU162" s="25"/>
      <c r="KV162" s="25"/>
      <c r="KW162" s="25"/>
      <c r="KX162" s="25"/>
      <c r="KY162" s="25"/>
      <c r="KZ162" s="25"/>
      <c r="LA162" s="25"/>
      <c r="LB162" s="25"/>
      <c r="LC162" s="25"/>
      <c r="LD162" s="25"/>
      <c r="LE162" s="25"/>
      <c r="LF162" s="25"/>
      <c r="LG162" s="25"/>
      <c r="LH162" s="25"/>
      <c r="LI162" s="25"/>
      <c r="LJ162" s="25"/>
      <c r="LK162" s="25"/>
      <c r="LL162" s="25"/>
      <c r="LM162" s="25"/>
      <c r="LN162" s="25"/>
      <c r="LO162" s="25"/>
      <c r="LP162" s="25"/>
      <c r="LQ162" s="25"/>
      <c r="LR162" s="25"/>
      <c r="LS162" s="25"/>
      <c r="LT162" s="25"/>
      <c r="LU162" s="25"/>
      <c r="LV162" s="25"/>
      <c r="LW162" s="25"/>
      <c r="LX162" s="25"/>
      <c r="LY162" s="25"/>
      <c r="LZ162" s="25"/>
      <c r="MA162" s="25"/>
      <c r="MB162" s="25"/>
      <c r="MC162" s="25"/>
      <c r="MD162" s="25"/>
      <c r="ME162" s="25"/>
      <c r="MF162" s="25"/>
      <c r="MG162" s="25"/>
      <c r="MH162" s="25"/>
      <c r="MI162" s="25"/>
      <c r="MJ162" s="25"/>
      <c r="MK162" s="25"/>
      <c r="ML162" s="25"/>
      <c r="MM162" s="25"/>
      <c r="MN162" s="25"/>
      <c r="MO162" s="25"/>
      <c r="MP162" s="25"/>
      <c r="MQ162" s="25"/>
      <c r="MR162" s="25"/>
      <c r="MS162" s="25"/>
      <c r="MT162" s="25"/>
      <c r="MU162" s="25"/>
      <c r="MV162" s="25"/>
      <c r="MW162" s="25"/>
      <c r="MX162" s="25"/>
      <c r="MY162" s="25"/>
      <c r="MZ162" s="25"/>
      <c r="NA162" s="25"/>
      <c r="NB162" s="25"/>
      <c r="NC162" s="25"/>
      <c r="ND162" s="25"/>
      <c r="NE162" s="33"/>
      <c r="OG162" s="18">
        <v>1</v>
      </c>
      <c r="OH162" s="18">
        <v>43196</v>
      </c>
      <c r="OI162" s="18">
        <v>43248</v>
      </c>
      <c r="PJ162" s="20" t="s">
        <v>11</v>
      </c>
      <c r="PK162" s="20">
        <v>106</v>
      </c>
    </row>
    <row r="163" spans="1:427" ht="0.75" customHeight="1" x14ac:dyDescent="0.2">
      <c r="A163" s="28"/>
      <c r="B163" s="22"/>
      <c r="C163" s="22"/>
      <c r="D163" s="44"/>
      <c r="E163" s="23"/>
      <c r="F163" s="24" t="s">
        <v>10</v>
      </c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  <c r="BL163" s="25"/>
      <c r="BM163" s="25"/>
      <c r="BN163" s="25"/>
      <c r="BO163" s="25"/>
      <c r="BP163" s="25"/>
      <c r="BQ163" s="25"/>
      <c r="BR163" s="25"/>
      <c r="BS163" s="25"/>
      <c r="BT163" s="25"/>
      <c r="BU163" s="25"/>
      <c r="BV163" s="25"/>
      <c r="BW163" s="25"/>
      <c r="BX163" s="25"/>
      <c r="BY163" s="25"/>
      <c r="BZ163" s="25"/>
      <c r="CA163" s="25"/>
      <c r="CB163" s="25"/>
      <c r="CC163" s="25"/>
      <c r="CD163" s="25"/>
      <c r="CE163" s="25"/>
      <c r="CF163" s="25"/>
      <c r="CG163" s="25"/>
      <c r="CH163" s="25"/>
      <c r="CI163" s="25"/>
      <c r="CJ163" s="25"/>
      <c r="CK163" s="25"/>
      <c r="CL163" s="25"/>
      <c r="CM163" s="25"/>
      <c r="CN163" s="25"/>
      <c r="CO163" s="25"/>
      <c r="CP163" s="25"/>
      <c r="CQ163" s="25"/>
      <c r="CR163" s="25"/>
      <c r="CS163" s="25"/>
      <c r="CT163" s="25"/>
      <c r="CU163" s="25"/>
      <c r="CV163" s="25"/>
      <c r="CW163" s="25"/>
      <c r="CX163" s="25"/>
      <c r="CY163" s="25"/>
      <c r="CZ163" s="25"/>
      <c r="DA163" s="25"/>
      <c r="DB163" s="25"/>
      <c r="DC163" s="25"/>
      <c r="DD163" s="25"/>
      <c r="DE163" s="25"/>
      <c r="DF163" s="25"/>
      <c r="DG163" s="25"/>
      <c r="DH163" s="25"/>
      <c r="DI163" s="25"/>
      <c r="DJ163" s="25"/>
      <c r="DK163" s="25"/>
      <c r="DL163" s="25"/>
      <c r="DM163" s="25"/>
      <c r="DN163" s="25"/>
      <c r="DO163" s="25"/>
      <c r="DP163" s="25"/>
      <c r="DQ163" s="25"/>
      <c r="DR163" s="25"/>
      <c r="DS163" s="25"/>
      <c r="DT163" s="25"/>
      <c r="DU163" s="25"/>
      <c r="DV163" s="25"/>
      <c r="DW163" s="25"/>
      <c r="DX163" s="25"/>
      <c r="DY163" s="25"/>
      <c r="DZ163" s="25"/>
      <c r="EA163" s="25"/>
      <c r="EB163" s="25"/>
      <c r="EC163" s="25"/>
      <c r="ED163" s="25"/>
      <c r="EE163" s="25"/>
      <c r="EF163" s="25"/>
      <c r="EG163" s="25"/>
      <c r="EH163" s="25"/>
      <c r="EI163" s="25"/>
      <c r="EJ163" s="25"/>
      <c r="EK163" s="25"/>
      <c r="EL163" s="25"/>
      <c r="EM163" s="25"/>
      <c r="EN163" s="25"/>
      <c r="EO163" s="25"/>
      <c r="EP163" s="25"/>
      <c r="EQ163" s="25"/>
      <c r="ER163" s="25"/>
      <c r="ES163" s="25"/>
      <c r="ET163" s="25"/>
      <c r="EU163" s="25"/>
      <c r="EV163" s="25"/>
      <c r="EW163" s="25"/>
      <c r="EX163" s="25"/>
      <c r="EY163" s="25"/>
      <c r="EZ163" s="25"/>
      <c r="FA163" s="25"/>
      <c r="FB163" s="25"/>
      <c r="FC163" s="25"/>
      <c r="FD163" s="25"/>
      <c r="FE163" s="25"/>
      <c r="FF163" s="25"/>
      <c r="FG163" s="25"/>
      <c r="FH163" s="25"/>
      <c r="FI163" s="25"/>
      <c r="FJ163" s="25"/>
      <c r="FK163" s="25"/>
      <c r="FL163" s="25"/>
      <c r="FM163" s="25"/>
      <c r="FN163" s="25"/>
      <c r="FO163" s="25"/>
      <c r="FP163" s="25"/>
      <c r="FQ163" s="25"/>
      <c r="FR163" s="25"/>
      <c r="FS163" s="25"/>
      <c r="FT163" s="25"/>
      <c r="FU163" s="25"/>
      <c r="FV163" s="25"/>
      <c r="FW163" s="25"/>
      <c r="FX163" s="25"/>
      <c r="FY163" s="25"/>
      <c r="FZ163" s="25"/>
      <c r="GA163" s="25"/>
      <c r="GB163" s="25"/>
      <c r="GC163" s="25"/>
      <c r="GD163" s="25"/>
      <c r="GE163" s="25"/>
      <c r="GF163" s="25"/>
      <c r="GG163" s="25"/>
      <c r="GH163" s="25"/>
      <c r="GI163" s="25"/>
      <c r="GJ163" s="25"/>
      <c r="GK163" s="25"/>
      <c r="GL163" s="25"/>
      <c r="GM163" s="25"/>
      <c r="GN163" s="25"/>
      <c r="GO163" s="25"/>
      <c r="GP163" s="25"/>
      <c r="GQ163" s="25"/>
      <c r="GR163" s="25"/>
      <c r="GS163" s="25"/>
      <c r="GT163" s="25"/>
      <c r="GU163" s="25"/>
      <c r="GV163" s="25"/>
      <c r="GW163" s="25"/>
      <c r="GX163" s="25"/>
      <c r="GY163" s="25"/>
      <c r="GZ163" s="25"/>
      <c r="HA163" s="25"/>
      <c r="HB163" s="25"/>
      <c r="HC163" s="25"/>
      <c r="HD163" s="25"/>
      <c r="HE163" s="25"/>
      <c r="HF163" s="25"/>
      <c r="HG163" s="25"/>
      <c r="HH163" s="25"/>
      <c r="HI163" s="25"/>
      <c r="HJ163" s="25"/>
      <c r="HK163" s="25"/>
      <c r="HL163" s="25"/>
      <c r="HM163" s="25"/>
      <c r="HN163" s="25"/>
      <c r="HO163" s="25"/>
      <c r="HP163" s="25"/>
      <c r="HQ163" s="25"/>
      <c r="HR163" s="25"/>
      <c r="HS163" s="25"/>
      <c r="HT163" s="25"/>
      <c r="HU163" s="25"/>
      <c r="HV163" s="25"/>
      <c r="HW163" s="25"/>
      <c r="HX163" s="25"/>
      <c r="HY163" s="25"/>
      <c r="HZ163" s="25"/>
      <c r="IA163" s="25"/>
      <c r="IB163" s="25"/>
      <c r="IC163" s="25"/>
      <c r="ID163" s="25"/>
      <c r="IE163" s="25"/>
      <c r="IF163" s="25"/>
      <c r="IG163" s="25"/>
      <c r="IH163" s="25"/>
      <c r="II163" s="25"/>
      <c r="IJ163" s="25"/>
      <c r="IK163" s="25"/>
      <c r="IL163" s="25"/>
      <c r="IM163" s="25"/>
      <c r="IN163" s="25"/>
      <c r="IO163" s="25"/>
      <c r="IP163" s="25"/>
      <c r="IQ163" s="25"/>
      <c r="IR163" s="25"/>
      <c r="IS163" s="25"/>
      <c r="IT163" s="25"/>
      <c r="IU163" s="25"/>
      <c r="IV163" s="25"/>
      <c r="IW163" s="25"/>
      <c r="IX163" s="25"/>
      <c r="IY163" s="25"/>
      <c r="IZ163" s="25"/>
      <c r="JA163" s="25"/>
      <c r="JB163" s="25"/>
      <c r="JC163" s="25"/>
      <c r="JD163" s="25"/>
      <c r="JE163" s="25"/>
      <c r="JF163" s="25"/>
      <c r="JG163" s="25"/>
      <c r="JH163" s="25"/>
      <c r="JI163" s="25"/>
      <c r="JJ163" s="25"/>
      <c r="JK163" s="25"/>
      <c r="JL163" s="25"/>
      <c r="JM163" s="25"/>
      <c r="JN163" s="25"/>
      <c r="JO163" s="25"/>
      <c r="JP163" s="25"/>
      <c r="JQ163" s="25"/>
      <c r="JR163" s="25"/>
      <c r="JS163" s="25"/>
      <c r="JT163" s="25"/>
      <c r="JU163" s="25"/>
      <c r="JV163" s="25"/>
      <c r="JW163" s="25"/>
      <c r="JX163" s="25"/>
      <c r="JY163" s="25"/>
      <c r="JZ163" s="25"/>
      <c r="KA163" s="25"/>
      <c r="KB163" s="25"/>
      <c r="KC163" s="25"/>
      <c r="KD163" s="25"/>
      <c r="KE163" s="25"/>
      <c r="KF163" s="25"/>
      <c r="KG163" s="25"/>
      <c r="KH163" s="25"/>
      <c r="KI163" s="25"/>
      <c r="KJ163" s="25"/>
      <c r="KK163" s="25"/>
      <c r="KL163" s="25"/>
      <c r="KM163" s="25"/>
      <c r="KN163" s="25"/>
      <c r="KO163" s="25"/>
      <c r="KP163" s="25"/>
      <c r="KQ163" s="25"/>
      <c r="KR163" s="25"/>
      <c r="KS163" s="25"/>
      <c r="KT163" s="25"/>
      <c r="KU163" s="25"/>
      <c r="KV163" s="25"/>
      <c r="KW163" s="25"/>
      <c r="KX163" s="25"/>
      <c r="KY163" s="25"/>
      <c r="KZ163" s="25"/>
      <c r="LA163" s="25"/>
      <c r="LB163" s="25"/>
      <c r="LC163" s="25"/>
      <c r="LD163" s="25"/>
      <c r="LE163" s="25"/>
      <c r="LF163" s="25"/>
      <c r="LG163" s="25"/>
      <c r="LH163" s="25"/>
      <c r="LI163" s="25"/>
      <c r="LJ163" s="25"/>
      <c r="LK163" s="25"/>
      <c r="LL163" s="25"/>
      <c r="LM163" s="25"/>
      <c r="LN163" s="25"/>
      <c r="LO163" s="25"/>
      <c r="LP163" s="25"/>
      <c r="LQ163" s="25"/>
      <c r="LR163" s="25"/>
      <c r="LS163" s="25"/>
      <c r="LT163" s="25"/>
      <c r="LU163" s="25"/>
      <c r="LV163" s="25"/>
      <c r="LW163" s="25"/>
      <c r="LX163" s="25"/>
      <c r="LY163" s="25"/>
      <c r="LZ163" s="25"/>
      <c r="MA163" s="25"/>
      <c r="MB163" s="25"/>
      <c r="MC163" s="25"/>
      <c r="MD163" s="25"/>
      <c r="ME163" s="25"/>
      <c r="MF163" s="25"/>
      <c r="MG163" s="25"/>
      <c r="MH163" s="25"/>
      <c r="MI163" s="25"/>
      <c r="MJ163" s="25"/>
      <c r="MK163" s="25"/>
      <c r="ML163" s="25"/>
      <c r="MM163" s="25"/>
      <c r="MN163" s="25"/>
      <c r="MO163" s="25"/>
      <c r="MP163" s="25"/>
      <c r="MQ163" s="25"/>
      <c r="MR163" s="25"/>
      <c r="MS163" s="25"/>
      <c r="MT163" s="25"/>
      <c r="MU163" s="25"/>
      <c r="MV163" s="25"/>
      <c r="MW163" s="25"/>
      <c r="MX163" s="25"/>
      <c r="MY163" s="25"/>
      <c r="MZ163" s="25"/>
      <c r="NA163" s="25"/>
      <c r="NB163" s="25"/>
      <c r="NC163" s="25"/>
      <c r="ND163" s="25"/>
      <c r="NE163" s="33"/>
    </row>
    <row r="164" spans="1:427" ht="13.5" customHeight="1" x14ac:dyDescent="0.2">
      <c r="A164" s="28"/>
      <c r="B164" s="22"/>
      <c r="C164" s="26"/>
      <c r="D164" s="44"/>
      <c r="E164" s="23"/>
      <c r="F164" s="24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  <c r="BL164" s="25"/>
      <c r="BM164" s="25"/>
      <c r="BN164" s="25"/>
      <c r="BO164" s="25"/>
      <c r="BP164" s="25"/>
      <c r="BQ164" s="25"/>
      <c r="BR164" s="25"/>
      <c r="BS164" s="25"/>
      <c r="BT164" s="25"/>
      <c r="BU164" s="25"/>
      <c r="BV164" s="25"/>
      <c r="BW164" s="25"/>
      <c r="BX164" s="25"/>
      <c r="BY164" s="25"/>
      <c r="BZ164" s="25"/>
      <c r="CA164" s="25"/>
      <c r="CB164" s="25"/>
      <c r="CC164" s="25"/>
      <c r="CD164" s="25"/>
      <c r="CE164" s="25"/>
      <c r="CF164" s="25"/>
      <c r="CG164" s="25"/>
      <c r="CH164" s="25"/>
      <c r="CI164" s="25"/>
      <c r="CJ164" s="25"/>
      <c r="CK164" s="25"/>
      <c r="CL164" s="25"/>
      <c r="CM164" s="25"/>
      <c r="CN164" s="25"/>
      <c r="CO164" s="25"/>
      <c r="CP164" s="25"/>
      <c r="CQ164" s="25"/>
      <c r="CR164" s="25"/>
      <c r="CS164" s="25"/>
      <c r="CT164" s="25"/>
      <c r="CU164" s="25"/>
      <c r="CV164" s="25"/>
      <c r="CW164" s="25"/>
      <c r="CX164" s="25"/>
      <c r="CY164" s="25"/>
      <c r="CZ164" s="25"/>
      <c r="DA164" s="25"/>
      <c r="DB164" s="25"/>
      <c r="DC164" s="25"/>
      <c r="DD164" s="25"/>
      <c r="DE164" s="25"/>
      <c r="DF164" s="25"/>
      <c r="DG164" s="25"/>
      <c r="DH164" s="25"/>
      <c r="DI164" s="25"/>
      <c r="DJ164" s="25"/>
      <c r="DK164" s="25"/>
      <c r="DL164" s="25"/>
      <c r="DM164" s="25"/>
      <c r="DN164" s="25"/>
      <c r="DO164" s="25"/>
      <c r="DP164" s="25"/>
      <c r="DQ164" s="25"/>
      <c r="DR164" s="25"/>
      <c r="DS164" s="25"/>
      <c r="DT164" s="25"/>
      <c r="DU164" s="25"/>
      <c r="DV164" s="25"/>
      <c r="DW164" s="25"/>
      <c r="DX164" s="25"/>
      <c r="DY164" s="25"/>
      <c r="DZ164" s="25"/>
      <c r="EA164" s="25"/>
      <c r="EB164" s="25"/>
      <c r="EC164" s="25"/>
      <c r="ED164" s="25"/>
      <c r="EE164" s="25"/>
      <c r="EF164" s="25"/>
      <c r="EG164" s="25"/>
      <c r="EH164" s="25"/>
      <c r="EI164" s="25"/>
      <c r="EJ164" s="25"/>
      <c r="EK164" s="25"/>
      <c r="EL164" s="25"/>
      <c r="EM164" s="25"/>
      <c r="EN164" s="25"/>
      <c r="EO164" s="25"/>
      <c r="EP164" s="25"/>
      <c r="EQ164" s="25"/>
      <c r="ER164" s="25"/>
      <c r="ES164" s="25"/>
      <c r="ET164" s="25"/>
      <c r="EU164" s="25"/>
      <c r="EV164" s="25"/>
      <c r="EW164" s="25"/>
      <c r="EX164" s="25"/>
      <c r="EY164" s="25"/>
      <c r="EZ164" s="25"/>
      <c r="FA164" s="25"/>
      <c r="FB164" s="25"/>
      <c r="FC164" s="25"/>
      <c r="FD164" s="25"/>
      <c r="FE164" s="25"/>
      <c r="FF164" s="25"/>
      <c r="FG164" s="25"/>
      <c r="FH164" s="25"/>
      <c r="FI164" s="25"/>
      <c r="FJ164" s="25"/>
      <c r="FK164" s="25"/>
      <c r="FL164" s="25"/>
      <c r="FM164" s="25"/>
      <c r="FN164" s="25"/>
      <c r="FO164" s="25"/>
      <c r="FP164" s="25"/>
      <c r="FQ164" s="25"/>
      <c r="FR164" s="25"/>
      <c r="FS164" s="25"/>
      <c r="FT164" s="25"/>
      <c r="FU164" s="25"/>
      <c r="FV164" s="25"/>
      <c r="FW164" s="25"/>
      <c r="FX164" s="25"/>
      <c r="FY164" s="25"/>
      <c r="FZ164" s="25"/>
      <c r="GA164" s="25"/>
      <c r="GB164" s="25"/>
      <c r="GC164" s="25"/>
      <c r="GD164" s="25"/>
      <c r="GE164" s="25"/>
      <c r="GF164" s="25"/>
      <c r="GG164" s="25"/>
      <c r="GH164" s="25"/>
      <c r="GI164" s="25"/>
      <c r="GJ164" s="25"/>
      <c r="GK164" s="25"/>
      <c r="GL164" s="25"/>
      <c r="GM164" s="25"/>
      <c r="GN164" s="25"/>
      <c r="GO164" s="25"/>
      <c r="GP164" s="25"/>
      <c r="GQ164" s="25"/>
      <c r="GR164" s="25"/>
      <c r="GS164" s="25"/>
      <c r="GT164" s="25"/>
      <c r="GU164" s="25"/>
      <c r="GV164" s="25"/>
      <c r="GW164" s="25"/>
      <c r="GX164" s="25"/>
      <c r="GY164" s="25"/>
      <c r="GZ164" s="25"/>
      <c r="HA164" s="25"/>
      <c r="HB164" s="25"/>
      <c r="HC164" s="25"/>
      <c r="HD164" s="25"/>
      <c r="HE164" s="25"/>
      <c r="HF164" s="25"/>
      <c r="HG164" s="25"/>
      <c r="HH164" s="25"/>
      <c r="HI164" s="25"/>
      <c r="HJ164" s="25"/>
      <c r="HK164" s="25"/>
      <c r="HL164" s="25"/>
      <c r="HM164" s="25"/>
      <c r="HN164" s="25"/>
      <c r="HO164" s="25"/>
      <c r="HP164" s="25"/>
      <c r="HQ164" s="25"/>
      <c r="HR164" s="25"/>
      <c r="HS164" s="25"/>
      <c r="HT164" s="25"/>
      <c r="HU164" s="25"/>
      <c r="HV164" s="25"/>
      <c r="HW164" s="25"/>
      <c r="HX164" s="25"/>
      <c r="HY164" s="25"/>
      <c r="HZ164" s="25"/>
      <c r="IA164" s="25"/>
      <c r="IB164" s="25"/>
      <c r="IC164" s="25"/>
      <c r="ID164" s="25"/>
      <c r="IE164" s="25"/>
      <c r="IF164" s="25"/>
      <c r="IG164" s="25"/>
      <c r="IH164" s="25"/>
      <c r="II164" s="25"/>
      <c r="IJ164" s="25"/>
      <c r="IK164" s="25"/>
      <c r="IL164" s="25"/>
      <c r="IM164" s="25"/>
      <c r="IN164" s="25"/>
      <c r="IO164" s="25"/>
      <c r="IP164" s="25"/>
      <c r="IQ164" s="25"/>
      <c r="IR164" s="25"/>
      <c r="IS164" s="25"/>
      <c r="IT164" s="25"/>
      <c r="IU164" s="25"/>
      <c r="IV164" s="25"/>
      <c r="IW164" s="25"/>
      <c r="IX164" s="25"/>
      <c r="IY164" s="25"/>
      <c r="IZ164" s="25"/>
      <c r="JA164" s="25"/>
      <c r="JB164" s="25"/>
      <c r="JC164" s="25"/>
      <c r="JD164" s="25"/>
      <c r="JE164" s="25"/>
      <c r="JF164" s="25"/>
      <c r="JG164" s="25"/>
      <c r="JH164" s="25"/>
      <c r="JI164" s="25"/>
      <c r="JJ164" s="25"/>
      <c r="JK164" s="25"/>
      <c r="JL164" s="25"/>
      <c r="JM164" s="25"/>
      <c r="JN164" s="25"/>
      <c r="JO164" s="25"/>
      <c r="JP164" s="25"/>
      <c r="JQ164" s="25"/>
      <c r="JR164" s="25"/>
      <c r="JS164" s="25"/>
      <c r="JT164" s="25"/>
      <c r="JU164" s="25"/>
      <c r="JV164" s="25"/>
      <c r="JW164" s="25"/>
      <c r="JX164" s="25"/>
      <c r="JY164" s="25"/>
      <c r="JZ164" s="25"/>
      <c r="KA164" s="25"/>
      <c r="KB164" s="25"/>
      <c r="KC164" s="25"/>
      <c r="KD164" s="25"/>
      <c r="KE164" s="25"/>
      <c r="KF164" s="25"/>
      <c r="KG164" s="25"/>
      <c r="KH164" s="25"/>
      <c r="KI164" s="25"/>
      <c r="KJ164" s="25"/>
      <c r="KK164" s="25"/>
      <c r="KL164" s="25"/>
      <c r="KM164" s="25"/>
      <c r="KN164" s="25"/>
      <c r="KO164" s="25"/>
      <c r="KP164" s="25"/>
      <c r="KQ164" s="25"/>
      <c r="KR164" s="25"/>
      <c r="KS164" s="25"/>
      <c r="KT164" s="25"/>
      <c r="KU164" s="25"/>
      <c r="KV164" s="25"/>
      <c r="KW164" s="25"/>
      <c r="KX164" s="25"/>
      <c r="KY164" s="25"/>
      <c r="KZ164" s="25"/>
      <c r="LA164" s="25"/>
      <c r="LB164" s="25"/>
      <c r="LC164" s="25"/>
      <c r="LD164" s="25"/>
      <c r="LE164" s="25"/>
      <c r="LF164" s="25"/>
      <c r="LG164" s="25"/>
      <c r="LH164" s="25"/>
      <c r="LI164" s="25"/>
      <c r="LJ164" s="25"/>
      <c r="LK164" s="25"/>
      <c r="LL164" s="25"/>
      <c r="LM164" s="25"/>
      <c r="LN164" s="25"/>
      <c r="LO164" s="25"/>
      <c r="LP164" s="25"/>
      <c r="LQ164" s="25"/>
      <c r="LR164" s="25"/>
      <c r="LS164" s="25"/>
      <c r="LT164" s="25"/>
      <c r="LU164" s="25"/>
      <c r="LV164" s="25"/>
      <c r="LW164" s="25"/>
      <c r="LX164" s="25"/>
      <c r="LY164" s="25"/>
      <c r="LZ164" s="25"/>
      <c r="MA164" s="25"/>
      <c r="MB164" s="25"/>
      <c r="MC164" s="25"/>
      <c r="MD164" s="25"/>
      <c r="ME164" s="25"/>
      <c r="MF164" s="25"/>
      <c r="MG164" s="25"/>
      <c r="MH164" s="25"/>
      <c r="MI164" s="25"/>
      <c r="MJ164" s="25"/>
      <c r="MK164" s="25"/>
      <c r="ML164" s="25"/>
      <c r="MM164" s="25"/>
      <c r="MN164" s="25"/>
      <c r="MO164" s="25"/>
      <c r="MP164" s="25"/>
      <c r="MQ164" s="25"/>
      <c r="MR164" s="25"/>
      <c r="MS164" s="25"/>
      <c r="MT164" s="25"/>
      <c r="MU164" s="25"/>
      <c r="MV164" s="25"/>
      <c r="MW164" s="25"/>
      <c r="MX164" s="25"/>
      <c r="MY164" s="25"/>
      <c r="MZ164" s="25"/>
      <c r="NA164" s="25"/>
      <c r="NB164" s="25"/>
      <c r="NC164" s="25"/>
      <c r="ND164" s="25"/>
      <c r="NE164" s="33"/>
      <c r="OG164" s="18">
        <v>1</v>
      </c>
      <c r="OH164" s="18">
        <v>43336</v>
      </c>
      <c r="OI164" s="18">
        <v>43388</v>
      </c>
      <c r="PJ164" s="20" t="s">
        <v>11</v>
      </c>
      <c r="PK164" s="20">
        <v>106</v>
      </c>
    </row>
    <row r="165" spans="1:427" ht="13.5" customHeight="1" x14ac:dyDescent="0.2">
      <c r="A165" s="28"/>
      <c r="B165" s="22"/>
      <c r="C165" s="26"/>
      <c r="D165" s="44"/>
      <c r="E165" s="23"/>
      <c r="F165" s="24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25"/>
      <c r="IX165" s="25"/>
      <c r="IY165" s="25"/>
      <c r="IZ165" s="25"/>
      <c r="JA165" s="25"/>
      <c r="JB165" s="25"/>
      <c r="JC165" s="25"/>
      <c r="JD165" s="25"/>
      <c r="JE165" s="25"/>
      <c r="JF165" s="25"/>
      <c r="JG165" s="25"/>
      <c r="JH165" s="25"/>
      <c r="JI165" s="25"/>
      <c r="JJ165" s="25"/>
      <c r="JK165" s="25"/>
      <c r="JL165" s="25"/>
      <c r="JM165" s="25"/>
      <c r="JN165" s="25"/>
      <c r="JO165" s="25"/>
      <c r="JP165" s="25"/>
      <c r="JQ165" s="25"/>
      <c r="JR165" s="25"/>
      <c r="JS165" s="25"/>
      <c r="JT165" s="25"/>
      <c r="JU165" s="25"/>
      <c r="JV165" s="25"/>
      <c r="JW165" s="25"/>
      <c r="JX165" s="25"/>
      <c r="JY165" s="25"/>
      <c r="JZ165" s="25"/>
      <c r="KA165" s="25"/>
      <c r="KB165" s="25"/>
      <c r="KC165" s="25"/>
      <c r="KD165" s="25"/>
      <c r="KE165" s="25"/>
      <c r="KF165" s="25"/>
      <c r="KG165" s="25"/>
      <c r="KH165" s="25"/>
      <c r="KI165" s="25"/>
      <c r="KJ165" s="25"/>
      <c r="KK165" s="25"/>
      <c r="KL165" s="25"/>
      <c r="KM165" s="25"/>
      <c r="KN165" s="25"/>
      <c r="KO165" s="25"/>
      <c r="KP165" s="25"/>
      <c r="KQ165" s="25"/>
      <c r="KR165" s="25"/>
      <c r="KS165" s="25"/>
      <c r="KT165" s="25"/>
      <c r="KU165" s="25"/>
      <c r="KV165" s="25"/>
      <c r="KW165" s="25"/>
      <c r="KX165" s="25"/>
      <c r="KY165" s="25"/>
      <c r="KZ165" s="25"/>
      <c r="LA165" s="25"/>
      <c r="LB165" s="25"/>
      <c r="LC165" s="25"/>
      <c r="LD165" s="25"/>
      <c r="LE165" s="25"/>
      <c r="LF165" s="25"/>
      <c r="LG165" s="25"/>
      <c r="LH165" s="25"/>
      <c r="LI165" s="25"/>
      <c r="LJ165" s="25"/>
      <c r="LK165" s="25"/>
      <c r="LL165" s="25"/>
      <c r="LM165" s="25"/>
      <c r="LN165" s="25"/>
      <c r="LO165" s="25"/>
      <c r="LP165" s="25"/>
      <c r="LQ165" s="25"/>
      <c r="LR165" s="25"/>
      <c r="LS165" s="25"/>
      <c r="LT165" s="25"/>
      <c r="LU165" s="25"/>
      <c r="LV165" s="25"/>
      <c r="LW165" s="25"/>
      <c r="LX165" s="25"/>
      <c r="LY165" s="25"/>
      <c r="LZ165" s="25"/>
      <c r="MA165" s="25"/>
      <c r="MB165" s="25"/>
      <c r="MC165" s="25"/>
      <c r="MD165" s="25"/>
      <c r="ME165" s="25"/>
      <c r="MF165" s="25"/>
      <c r="MG165" s="25"/>
      <c r="MH165" s="25"/>
      <c r="MI165" s="25"/>
      <c r="MJ165" s="25"/>
      <c r="MK165" s="25"/>
      <c r="ML165" s="25"/>
      <c r="MM165" s="25"/>
      <c r="MN165" s="25"/>
      <c r="MO165" s="25"/>
      <c r="MP165" s="25"/>
      <c r="MQ165" s="25"/>
      <c r="MR165" s="25"/>
      <c r="MS165" s="25"/>
      <c r="MT165" s="25"/>
      <c r="MU165" s="25"/>
      <c r="MV165" s="25"/>
      <c r="MW165" s="25"/>
      <c r="MX165" s="25"/>
      <c r="MY165" s="25"/>
      <c r="MZ165" s="25"/>
      <c r="NA165" s="25"/>
      <c r="NB165" s="25"/>
      <c r="NC165" s="25"/>
      <c r="ND165" s="25"/>
      <c r="NE165" s="33"/>
      <c r="OG165" s="18">
        <v>1</v>
      </c>
      <c r="OH165" s="18">
        <v>43196</v>
      </c>
      <c r="OI165" s="18">
        <v>43248</v>
      </c>
      <c r="PJ165" s="20" t="s">
        <v>11</v>
      </c>
      <c r="PK165" s="20">
        <v>106</v>
      </c>
    </row>
    <row r="166" spans="1:427" ht="0.75" customHeight="1" x14ac:dyDescent="0.2">
      <c r="A166" s="28"/>
      <c r="B166" s="22"/>
      <c r="C166" s="22"/>
      <c r="D166" s="44"/>
      <c r="E166" s="23"/>
      <c r="F166" s="24" t="s">
        <v>10</v>
      </c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  <c r="BL166" s="25"/>
      <c r="BM166" s="25"/>
      <c r="BN166" s="25"/>
      <c r="BO166" s="25"/>
      <c r="BP166" s="25"/>
      <c r="BQ166" s="25"/>
      <c r="BR166" s="25"/>
      <c r="BS166" s="25"/>
      <c r="BT166" s="25"/>
      <c r="BU166" s="25"/>
      <c r="BV166" s="25"/>
      <c r="BW166" s="25"/>
      <c r="BX166" s="25"/>
      <c r="BY166" s="25"/>
      <c r="BZ166" s="25"/>
      <c r="CA166" s="25"/>
      <c r="CB166" s="25"/>
      <c r="CC166" s="25"/>
      <c r="CD166" s="25"/>
      <c r="CE166" s="25"/>
      <c r="CF166" s="25"/>
      <c r="CG166" s="25"/>
      <c r="CH166" s="25"/>
      <c r="CI166" s="25"/>
      <c r="CJ166" s="25"/>
      <c r="CK166" s="25"/>
      <c r="CL166" s="25"/>
      <c r="CM166" s="25"/>
      <c r="CN166" s="25"/>
      <c r="CO166" s="25"/>
      <c r="CP166" s="25"/>
      <c r="CQ166" s="25"/>
      <c r="CR166" s="25"/>
      <c r="CS166" s="25"/>
      <c r="CT166" s="25"/>
      <c r="CU166" s="25"/>
      <c r="CV166" s="25"/>
      <c r="CW166" s="25"/>
      <c r="CX166" s="25"/>
      <c r="CY166" s="25"/>
      <c r="CZ166" s="25"/>
      <c r="DA166" s="25"/>
      <c r="DB166" s="25"/>
      <c r="DC166" s="25"/>
      <c r="DD166" s="25"/>
      <c r="DE166" s="25"/>
      <c r="DF166" s="25"/>
      <c r="DG166" s="25"/>
      <c r="DH166" s="25"/>
      <c r="DI166" s="25"/>
      <c r="DJ166" s="25"/>
      <c r="DK166" s="25"/>
      <c r="DL166" s="25"/>
      <c r="DM166" s="25"/>
      <c r="DN166" s="25"/>
      <c r="DO166" s="25"/>
      <c r="DP166" s="25"/>
      <c r="DQ166" s="25"/>
      <c r="DR166" s="25"/>
      <c r="DS166" s="25"/>
      <c r="DT166" s="25"/>
      <c r="DU166" s="25"/>
      <c r="DV166" s="25"/>
      <c r="DW166" s="25"/>
      <c r="DX166" s="25"/>
      <c r="DY166" s="25"/>
      <c r="DZ166" s="25"/>
      <c r="EA166" s="25"/>
      <c r="EB166" s="25"/>
      <c r="EC166" s="25"/>
      <c r="ED166" s="25"/>
      <c r="EE166" s="25"/>
      <c r="EF166" s="25"/>
      <c r="EG166" s="25"/>
      <c r="EH166" s="25"/>
      <c r="EI166" s="25"/>
      <c r="EJ166" s="25"/>
      <c r="EK166" s="25"/>
      <c r="EL166" s="25"/>
      <c r="EM166" s="25"/>
      <c r="EN166" s="25"/>
      <c r="EO166" s="25"/>
      <c r="EP166" s="25"/>
      <c r="EQ166" s="25"/>
      <c r="ER166" s="25"/>
      <c r="ES166" s="25"/>
      <c r="ET166" s="25"/>
      <c r="EU166" s="25"/>
      <c r="EV166" s="25"/>
      <c r="EW166" s="25"/>
      <c r="EX166" s="25"/>
      <c r="EY166" s="25"/>
      <c r="EZ166" s="25"/>
      <c r="FA166" s="25"/>
      <c r="FB166" s="25"/>
      <c r="FC166" s="25"/>
      <c r="FD166" s="25"/>
      <c r="FE166" s="25"/>
      <c r="FF166" s="25"/>
      <c r="FG166" s="25"/>
      <c r="FH166" s="25"/>
      <c r="FI166" s="25"/>
      <c r="FJ166" s="25"/>
      <c r="FK166" s="25"/>
      <c r="FL166" s="25"/>
      <c r="FM166" s="25"/>
      <c r="FN166" s="25"/>
      <c r="FO166" s="25"/>
      <c r="FP166" s="25"/>
      <c r="FQ166" s="25"/>
      <c r="FR166" s="25"/>
      <c r="FS166" s="25"/>
      <c r="FT166" s="25"/>
      <c r="FU166" s="25"/>
      <c r="FV166" s="25"/>
      <c r="FW166" s="25"/>
      <c r="FX166" s="25"/>
      <c r="FY166" s="25"/>
      <c r="FZ166" s="25"/>
      <c r="GA166" s="25"/>
      <c r="GB166" s="25"/>
      <c r="GC166" s="25"/>
      <c r="GD166" s="25"/>
      <c r="GE166" s="25"/>
      <c r="GF166" s="25"/>
      <c r="GG166" s="25"/>
      <c r="GH166" s="25"/>
      <c r="GI166" s="25"/>
      <c r="GJ166" s="25"/>
      <c r="GK166" s="25"/>
      <c r="GL166" s="25"/>
      <c r="GM166" s="25"/>
      <c r="GN166" s="25"/>
      <c r="GO166" s="25"/>
      <c r="GP166" s="25"/>
      <c r="GQ166" s="25"/>
      <c r="GR166" s="25"/>
      <c r="GS166" s="25"/>
      <c r="GT166" s="25"/>
      <c r="GU166" s="25"/>
      <c r="GV166" s="25"/>
      <c r="GW166" s="25"/>
      <c r="GX166" s="25"/>
      <c r="GY166" s="25"/>
      <c r="GZ166" s="25"/>
      <c r="HA166" s="25"/>
      <c r="HB166" s="25"/>
      <c r="HC166" s="25"/>
      <c r="HD166" s="25"/>
      <c r="HE166" s="25"/>
      <c r="HF166" s="25"/>
      <c r="HG166" s="25"/>
      <c r="HH166" s="25"/>
      <c r="HI166" s="25"/>
      <c r="HJ166" s="25"/>
      <c r="HK166" s="25"/>
      <c r="HL166" s="25"/>
      <c r="HM166" s="25"/>
      <c r="HN166" s="25"/>
      <c r="HO166" s="25"/>
      <c r="HP166" s="25"/>
      <c r="HQ166" s="25"/>
      <c r="HR166" s="25"/>
      <c r="HS166" s="25"/>
      <c r="HT166" s="25"/>
      <c r="HU166" s="25"/>
      <c r="HV166" s="25"/>
      <c r="HW166" s="25"/>
      <c r="HX166" s="25"/>
      <c r="HY166" s="25"/>
      <c r="HZ166" s="25"/>
      <c r="IA166" s="25"/>
      <c r="IB166" s="25"/>
      <c r="IC166" s="25"/>
      <c r="ID166" s="25"/>
      <c r="IE166" s="25"/>
      <c r="IF166" s="25"/>
      <c r="IG166" s="25"/>
      <c r="IH166" s="25"/>
      <c r="II166" s="25"/>
      <c r="IJ166" s="25"/>
      <c r="IK166" s="25"/>
      <c r="IL166" s="25"/>
      <c r="IM166" s="25"/>
      <c r="IN166" s="25"/>
      <c r="IO166" s="25"/>
      <c r="IP166" s="25"/>
      <c r="IQ166" s="25"/>
      <c r="IR166" s="25"/>
      <c r="IS166" s="25"/>
      <c r="IT166" s="25"/>
      <c r="IU166" s="25"/>
      <c r="IV166" s="25"/>
      <c r="IW166" s="25"/>
      <c r="IX166" s="25"/>
      <c r="IY166" s="25"/>
      <c r="IZ166" s="25"/>
      <c r="JA166" s="25"/>
      <c r="JB166" s="25"/>
      <c r="JC166" s="25"/>
      <c r="JD166" s="25"/>
      <c r="JE166" s="25"/>
      <c r="JF166" s="25"/>
      <c r="JG166" s="25"/>
      <c r="JH166" s="25"/>
      <c r="JI166" s="25"/>
      <c r="JJ166" s="25"/>
      <c r="JK166" s="25"/>
      <c r="JL166" s="25"/>
      <c r="JM166" s="25"/>
      <c r="JN166" s="25"/>
      <c r="JO166" s="25"/>
      <c r="JP166" s="25"/>
      <c r="JQ166" s="25"/>
      <c r="JR166" s="25"/>
      <c r="JS166" s="25"/>
      <c r="JT166" s="25"/>
      <c r="JU166" s="25"/>
      <c r="JV166" s="25"/>
      <c r="JW166" s="25"/>
      <c r="JX166" s="25"/>
      <c r="JY166" s="25"/>
      <c r="JZ166" s="25"/>
      <c r="KA166" s="25"/>
      <c r="KB166" s="25"/>
      <c r="KC166" s="25"/>
      <c r="KD166" s="25"/>
      <c r="KE166" s="25"/>
      <c r="KF166" s="25"/>
      <c r="KG166" s="25"/>
      <c r="KH166" s="25"/>
      <c r="KI166" s="25"/>
      <c r="KJ166" s="25"/>
      <c r="KK166" s="25"/>
      <c r="KL166" s="25"/>
      <c r="KM166" s="25"/>
      <c r="KN166" s="25"/>
      <c r="KO166" s="25"/>
      <c r="KP166" s="25"/>
      <c r="KQ166" s="25"/>
      <c r="KR166" s="25"/>
      <c r="KS166" s="25"/>
      <c r="KT166" s="25"/>
      <c r="KU166" s="25"/>
      <c r="KV166" s="25"/>
      <c r="KW166" s="25"/>
      <c r="KX166" s="25"/>
      <c r="KY166" s="25"/>
      <c r="KZ166" s="25"/>
      <c r="LA166" s="25"/>
      <c r="LB166" s="25"/>
      <c r="LC166" s="25"/>
      <c r="LD166" s="25"/>
      <c r="LE166" s="25"/>
      <c r="LF166" s="25"/>
      <c r="LG166" s="25"/>
      <c r="LH166" s="25"/>
      <c r="LI166" s="25"/>
      <c r="LJ166" s="25"/>
      <c r="LK166" s="25"/>
      <c r="LL166" s="25"/>
      <c r="LM166" s="25"/>
      <c r="LN166" s="25"/>
      <c r="LO166" s="25"/>
      <c r="LP166" s="25"/>
      <c r="LQ166" s="25"/>
      <c r="LR166" s="25"/>
      <c r="LS166" s="25"/>
      <c r="LT166" s="25"/>
      <c r="LU166" s="25"/>
      <c r="LV166" s="25"/>
      <c r="LW166" s="25"/>
      <c r="LX166" s="25"/>
      <c r="LY166" s="25"/>
      <c r="LZ166" s="25"/>
      <c r="MA166" s="25"/>
      <c r="MB166" s="25"/>
      <c r="MC166" s="25"/>
      <c r="MD166" s="25"/>
      <c r="ME166" s="25"/>
      <c r="MF166" s="25"/>
      <c r="MG166" s="25"/>
      <c r="MH166" s="25"/>
      <c r="MI166" s="25"/>
      <c r="MJ166" s="25"/>
      <c r="MK166" s="25"/>
      <c r="ML166" s="25"/>
      <c r="MM166" s="25"/>
      <c r="MN166" s="25"/>
      <c r="MO166" s="25"/>
      <c r="MP166" s="25"/>
      <c r="MQ166" s="25"/>
      <c r="MR166" s="25"/>
      <c r="MS166" s="25"/>
      <c r="MT166" s="25"/>
      <c r="MU166" s="25"/>
      <c r="MV166" s="25"/>
      <c r="MW166" s="25"/>
      <c r="MX166" s="25"/>
      <c r="MY166" s="25"/>
      <c r="MZ166" s="25"/>
      <c r="NA166" s="25"/>
      <c r="NB166" s="25"/>
      <c r="NC166" s="25"/>
      <c r="ND166" s="25"/>
      <c r="NE166" s="33"/>
    </row>
    <row r="167" spans="1:427" ht="13.5" customHeight="1" x14ac:dyDescent="0.2">
      <c r="A167" s="28"/>
      <c r="B167" s="22"/>
      <c r="C167" s="26"/>
      <c r="D167" s="44"/>
      <c r="E167" s="23"/>
      <c r="F167" s="24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  <c r="BL167" s="25"/>
      <c r="BM167" s="25"/>
      <c r="BN167" s="25"/>
      <c r="BO167" s="25"/>
      <c r="BP167" s="25"/>
      <c r="BQ167" s="25"/>
      <c r="BR167" s="25"/>
      <c r="BS167" s="25"/>
      <c r="BT167" s="25"/>
      <c r="BU167" s="25"/>
      <c r="BV167" s="25"/>
      <c r="BW167" s="25"/>
      <c r="BX167" s="25"/>
      <c r="BY167" s="25"/>
      <c r="BZ167" s="25"/>
      <c r="CA167" s="25"/>
      <c r="CB167" s="25"/>
      <c r="CC167" s="25"/>
      <c r="CD167" s="25"/>
      <c r="CE167" s="25"/>
      <c r="CF167" s="25"/>
      <c r="CG167" s="25"/>
      <c r="CH167" s="25"/>
      <c r="CI167" s="25"/>
      <c r="CJ167" s="25"/>
      <c r="CK167" s="25"/>
      <c r="CL167" s="25"/>
      <c r="CM167" s="25"/>
      <c r="CN167" s="25"/>
      <c r="CO167" s="25"/>
      <c r="CP167" s="25"/>
      <c r="CQ167" s="25"/>
      <c r="CR167" s="25"/>
      <c r="CS167" s="25"/>
      <c r="CT167" s="25"/>
      <c r="CU167" s="25"/>
      <c r="CV167" s="25"/>
      <c r="CW167" s="25"/>
      <c r="CX167" s="25"/>
      <c r="CY167" s="25"/>
      <c r="CZ167" s="25"/>
      <c r="DA167" s="25"/>
      <c r="DB167" s="25"/>
      <c r="DC167" s="25"/>
      <c r="DD167" s="25"/>
      <c r="DE167" s="25"/>
      <c r="DF167" s="25"/>
      <c r="DG167" s="25"/>
      <c r="DH167" s="25"/>
      <c r="DI167" s="25"/>
      <c r="DJ167" s="25"/>
      <c r="DK167" s="25"/>
      <c r="DL167" s="25"/>
      <c r="DM167" s="25"/>
      <c r="DN167" s="25"/>
      <c r="DO167" s="25"/>
      <c r="DP167" s="25"/>
      <c r="DQ167" s="25"/>
      <c r="DR167" s="25"/>
      <c r="DS167" s="25"/>
      <c r="DT167" s="25"/>
      <c r="DU167" s="25"/>
      <c r="DV167" s="25"/>
      <c r="DW167" s="25"/>
      <c r="DX167" s="25"/>
      <c r="DY167" s="25"/>
      <c r="DZ167" s="25"/>
      <c r="EA167" s="25"/>
      <c r="EB167" s="25"/>
      <c r="EC167" s="25"/>
      <c r="ED167" s="25"/>
      <c r="EE167" s="25"/>
      <c r="EF167" s="25"/>
      <c r="EG167" s="25"/>
      <c r="EH167" s="25"/>
      <c r="EI167" s="25"/>
      <c r="EJ167" s="25"/>
      <c r="EK167" s="25"/>
      <c r="EL167" s="25"/>
      <c r="EM167" s="25"/>
      <c r="EN167" s="25"/>
      <c r="EO167" s="25"/>
      <c r="EP167" s="25"/>
      <c r="EQ167" s="25"/>
      <c r="ER167" s="25"/>
      <c r="ES167" s="25"/>
      <c r="ET167" s="25"/>
      <c r="EU167" s="25"/>
      <c r="EV167" s="25"/>
      <c r="EW167" s="25"/>
      <c r="EX167" s="25"/>
      <c r="EY167" s="25"/>
      <c r="EZ167" s="25"/>
      <c r="FA167" s="25"/>
      <c r="FB167" s="25"/>
      <c r="FC167" s="25"/>
      <c r="FD167" s="25"/>
      <c r="FE167" s="25"/>
      <c r="FF167" s="25"/>
      <c r="FG167" s="25"/>
      <c r="FH167" s="25"/>
      <c r="FI167" s="25"/>
      <c r="FJ167" s="25"/>
      <c r="FK167" s="25"/>
      <c r="FL167" s="25"/>
      <c r="FM167" s="25"/>
      <c r="FN167" s="25"/>
      <c r="FO167" s="25"/>
      <c r="FP167" s="25"/>
      <c r="FQ167" s="25"/>
      <c r="FR167" s="25"/>
      <c r="FS167" s="25"/>
      <c r="FT167" s="25"/>
      <c r="FU167" s="25"/>
      <c r="FV167" s="25"/>
      <c r="FW167" s="25"/>
      <c r="FX167" s="25"/>
      <c r="FY167" s="25"/>
      <c r="FZ167" s="25"/>
      <c r="GA167" s="25"/>
      <c r="GB167" s="25"/>
      <c r="GC167" s="25"/>
      <c r="GD167" s="25"/>
      <c r="GE167" s="25"/>
      <c r="GF167" s="25"/>
      <c r="GG167" s="25"/>
      <c r="GH167" s="25"/>
      <c r="GI167" s="25"/>
      <c r="GJ167" s="25"/>
      <c r="GK167" s="25"/>
      <c r="GL167" s="25"/>
      <c r="GM167" s="25"/>
      <c r="GN167" s="25"/>
      <c r="GO167" s="25"/>
      <c r="GP167" s="25"/>
      <c r="GQ167" s="25"/>
      <c r="GR167" s="25"/>
      <c r="GS167" s="25"/>
      <c r="GT167" s="25"/>
      <c r="GU167" s="25"/>
      <c r="GV167" s="25"/>
      <c r="GW167" s="25"/>
      <c r="GX167" s="25"/>
      <c r="GY167" s="25"/>
      <c r="GZ167" s="25"/>
      <c r="HA167" s="25"/>
      <c r="HB167" s="25"/>
      <c r="HC167" s="25"/>
      <c r="HD167" s="25"/>
      <c r="HE167" s="25"/>
      <c r="HF167" s="25"/>
      <c r="HG167" s="25"/>
      <c r="HH167" s="25"/>
      <c r="HI167" s="25"/>
      <c r="HJ167" s="25"/>
      <c r="HK167" s="25"/>
      <c r="HL167" s="25"/>
      <c r="HM167" s="25"/>
      <c r="HN167" s="25"/>
      <c r="HO167" s="25"/>
      <c r="HP167" s="25"/>
      <c r="HQ167" s="25"/>
      <c r="HR167" s="25"/>
      <c r="HS167" s="25"/>
      <c r="HT167" s="25"/>
      <c r="HU167" s="25"/>
      <c r="HV167" s="25"/>
      <c r="HW167" s="25"/>
      <c r="HX167" s="25"/>
      <c r="HY167" s="25"/>
      <c r="HZ167" s="25"/>
      <c r="IA167" s="25"/>
      <c r="IB167" s="25"/>
      <c r="IC167" s="25"/>
      <c r="ID167" s="25"/>
      <c r="IE167" s="25"/>
      <c r="IF167" s="25"/>
      <c r="IG167" s="25"/>
      <c r="IH167" s="25"/>
      <c r="II167" s="25"/>
      <c r="IJ167" s="25"/>
      <c r="IK167" s="25"/>
      <c r="IL167" s="25"/>
      <c r="IM167" s="25"/>
      <c r="IN167" s="25"/>
      <c r="IO167" s="25"/>
      <c r="IP167" s="25"/>
      <c r="IQ167" s="25"/>
      <c r="IR167" s="25"/>
      <c r="IS167" s="25"/>
      <c r="IT167" s="25"/>
      <c r="IU167" s="25"/>
      <c r="IV167" s="25"/>
      <c r="IW167" s="25"/>
      <c r="IX167" s="25"/>
      <c r="IY167" s="25"/>
      <c r="IZ167" s="25"/>
      <c r="JA167" s="25"/>
      <c r="JB167" s="25"/>
      <c r="JC167" s="25"/>
      <c r="JD167" s="25"/>
      <c r="JE167" s="25"/>
      <c r="JF167" s="25"/>
      <c r="JG167" s="25"/>
      <c r="JH167" s="25"/>
      <c r="JI167" s="25"/>
      <c r="JJ167" s="25"/>
      <c r="JK167" s="25"/>
      <c r="JL167" s="25"/>
      <c r="JM167" s="25"/>
      <c r="JN167" s="25"/>
      <c r="JO167" s="25"/>
      <c r="JP167" s="25"/>
      <c r="JQ167" s="25"/>
      <c r="JR167" s="25"/>
      <c r="JS167" s="25"/>
      <c r="JT167" s="25"/>
      <c r="JU167" s="25"/>
      <c r="JV167" s="25"/>
      <c r="JW167" s="25"/>
      <c r="JX167" s="25"/>
      <c r="JY167" s="25"/>
      <c r="JZ167" s="25"/>
      <c r="KA167" s="25"/>
      <c r="KB167" s="25"/>
      <c r="KC167" s="25"/>
      <c r="KD167" s="25"/>
      <c r="KE167" s="25"/>
      <c r="KF167" s="25"/>
      <c r="KG167" s="25"/>
      <c r="KH167" s="25"/>
      <c r="KI167" s="25"/>
      <c r="KJ167" s="25"/>
      <c r="KK167" s="25"/>
      <c r="KL167" s="25"/>
      <c r="KM167" s="25"/>
      <c r="KN167" s="25"/>
      <c r="KO167" s="25"/>
      <c r="KP167" s="25"/>
      <c r="KQ167" s="25"/>
      <c r="KR167" s="25"/>
      <c r="KS167" s="25"/>
      <c r="KT167" s="25"/>
      <c r="KU167" s="25"/>
      <c r="KV167" s="25"/>
      <c r="KW167" s="25"/>
      <c r="KX167" s="25"/>
      <c r="KY167" s="25"/>
      <c r="KZ167" s="25"/>
      <c r="LA167" s="25"/>
      <c r="LB167" s="25"/>
      <c r="LC167" s="25"/>
      <c r="LD167" s="25"/>
      <c r="LE167" s="25"/>
      <c r="LF167" s="25"/>
      <c r="LG167" s="25"/>
      <c r="LH167" s="25"/>
      <c r="LI167" s="25"/>
      <c r="LJ167" s="25"/>
      <c r="LK167" s="25"/>
      <c r="LL167" s="25"/>
      <c r="LM167" s="25"/>
      <c r="LN167" s="25"/>
      <c r="LO167" s="25"/>
      <c r="LP167" s="25"/>
      <c r="LQ167" s="25"/>
      <c r="LR167" s="25"/>
      <c r="LS167" s="25"/>
      <c r="LT167" s="25"/>
      <c r="LU167" s="25"/>
      <c r="LV167" s="25"/>
      <c r="LW167" s="25"/>
      <c r="LX167" s="25"/>
      <c r="LY167" s="25"/>
      <c r="LZ167" s="25"/>
      <c r="MA167" s="25"/>
      <c r="MB167" s="25"/>
      <c r="MC167" s="25"/>
      <c r="MD167" s="25"/>
      <c r="ME167" s="25"/>
      <c r="MF167" s="25"/>
      <c r="MG167" s="25"/>
      <c r="MH167" s="25"/>
      <c r="MI167" s="25"/>
      <c r="MJ167" s="25"/>
      <c r="MK167" s="25"/>
      <c r="ML167" s="25"/>
      <c r="MM167" s="25"/>
      <c r="MN167" s="25"/>
      <c r="MO167" s="25"/>
      <c r="MP167" s="25"/>
      <c r="MQ167" s="25"/>
      <c r="MR167" s="25"/>
      <c r="MS167" s="25"/>
      <c r="MT167" s="25"/>
      <c r="MU167" s="25"/>
      <c r="MV167" s="25"/>
      <c r="MW167" s="25"/>
      <c r="MX167" s="25"/>
      <c r="MY167" s="25"/>
      <c r="MZ167" s="25"/>
      <c r="NA167" s="25"/>
      <c r="NB167" s="25"/>
      <c r="NC167" s="25"/>
      <c r="ND167" s="25"/>
      <c r="NE167" s="33"/>
      <c r="OG167" s="18">
        <v>1</v>
      </c>
      <c r="OH167" s="18">
        <v>43336</v>
      </c>
      <c r="OI167" s="18">
        <v>43388</v>
      </c>
      <c r="PJ167" s="20" t="s">
        <v>11</v>
      </c>
      <c r="PK167" s="20">
        <v>106</v>
      </c>
    </row>
    <row r="168" spans="1:427" ht="13.5" customHeight="1" x14ac:dyDescent="0.2">
      <c r="A168" s="28"/>
      <c r="B168" s="22"/>
      <c r="C168" s="26"/>
      <c r="D168" s="44"/>
      <c r="E168" s="23"/>
      <c r="F168" s="24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  <c r="BL168" s="25"/>
      <c r="BM168" s="25"/>
      <c r="BN168" s="25"/>
      <c r="BO168" s="25"/>
      <c r="BP168" s="25"/>
      <c r="BQ168" s="25"/>
      <c r="BR168" s="25"/>
      <c r="BS168" s="25"/>
      <c r="BT168" s="25"/>
      <c r="BU168" s="25"/>
      <c r="BV168" s="25"/>
      <c r="BW168" s="25"/>
      <c r="BX168" s="25"/>
      <c r="BY168" s="25"/>
      <c r="BZ168" s="25"/>
      <c r="CA168" s="25"/>
      <c r="CB168" s="25"/>
      <c r="CC168" s="25"/>
      <c r="CD168" s="25"/>
      <c r="CE168" s="25"/>
      <c r="CF168" s="25"/>
      <c r="CG168" s="25"/>
      <c r="CH168" s="25"/>
      <c r="CI168" s="25"/>
      <c r="CJ168" s="25"/>
      <c r="CK168" s="25"/>
      <c r="CL168" s="25"/>
      <c r="CM168" s="25"/>
      <c r="CN168" s="25"/>
      <c r="CO168" s="25"/>
      <c r="CP168" s="25"/>
      <c r="CQ168" s="25"/>
      <c r="CR168" s="25"/>
      <c r="CS168" s="25"/>
      <c r="CT168" s="25"/>
      <c r="CU168" s="25"/>
      <c r="CV168" s="25"/>
      <c r="CW168" s="25"/>
      <c r="CX168" s="25"/>
      <c r="CY168" s="25"/>
      <c r="CZ168" s="25"/>
      <c r="DA168" s="25"/>
      <c r="DB168" s="25"/>
      <c r="DC168" s="25"/>
      <c r="DD168" s="25"/>
      <c r="DE168" s="25"/>
      <c r="DF168" s="25"/>
      <c r="DG168" s="25"/>
      <c r="DH168" s="25"/>
      <c r="DI168" s="25"/>
      <c r="DJ168" s="25"/>
      <c r="DK168" s="25"/>
      <c r="DL168" s="25"/>
      <c r="DM168" s="25"/>
      <c r="DN168" s="25"/>
      <c r="DO168" s="25"/>
      <c r="DP168" s="25"/>
      <c r="DQ168" s="25"/>
      <c r="DR168" s="25"/>
      <c r="DS168" s="25"/>
      <c r="DT168" s="25"/>
      <c r="DU168" s="25"/>
      <c r="DV168" s="25"/>
      <c r="DW168" s="25"/>
      <c r="DX168" s="25"/>
      <c r="DY168" s="25"/>
      <c r="DZ168" s="25"/>
      <c r="EA168" s="25"/>
      <c r="EB168" s="25"/>
      <c r="EC168" s="25"/>
      <c r="ED168" s="25"/>
      <c r="EE168" s="25"/>
      <c r="EF168" s="25"/>
      <c r="EG168" s="25"/>
      <c r="EH168" s="25"/>
      <c r="EI168" s="25"/>
      <c r="EJ168" s="25"/>
      <c r="EK168" s="25"/>
      <c r="EL168" s="25"/>
      <c r="EM168" s="25"/>
      <c r="EN168" s="25"/>
      <c r="EO168" s="25"/>
      <c r="EP168" s="25"/>
      <c r="EQ168" s="25"/>
      <c r="ER168" s="25"/>
      <c r="ES168" s="25"/>
      <c r="ET168" s="25"/>
      <c r="EU168" s="25"/>
      <c r="EV168" s="25"/>
      <c r="EW168" s="25"/>
      <c r="EX168" s="25"/>
      <c r="EY168" s="25"/>
      <c r="EZ168" s="25"/>
      <c r="FA168" s="25"/>
      <c r="FB168" s="25"/>
      <c r="FC168" s="25"/>
      <c r="FD168" s="25"/>
      <c r="FE168" s="25"/>
      <c r="FF168" s="25"/>
      <c r="FG168" s="25"/>
      <c r="FH168" s="25"/>
      <c r="FI168" s="25"/>
      <c r="FJ168" s="25"/>
      <c r="FK168" s="25"/>
      <c r="FL168" s="25"/>
      <c r="FM168" s="25"/>
      <c r="FN168" s="25"/>
      <c r="FO168" s="25"/>
      <c r="FP168" s="25"/>
      <c r="FQ168" s="25"/>
      <c r="FR168" s="25"/>
      <c r="FS168" s="25"/>
      <c r="FT168" s="25"/>
      <c r="FU168" s="25"/>
      <c r="FV168" s="25"/>
      <c r="FW168" s="25"/>
      <c r="FX168" s="25"/>
      <c r="FY168" s="25"/>
      <c r="FZ168" s="25"/>
      <c r="GA168" s="25"/>
      <c r="GB168" s="25"/>
      <c r="GC168" s="25"/>
      <c r="GD168" s="25"/>
      <c r="GE168" s="25"/>
      <c r="GF168" s="25"/>
      <c r="GG168" s="25"/>
      <c r="GH168" s="25"/>
      <c r="GI168" s="25"/>
      <c r="GJ168" s="25"/>
      <c r="GK168" s="25"/>
      <c r="GL168" s="25"/>
      <c r="GM168" s="25"/>
      <c r="GN168" s="25"/>
      <c r="GO168" s="25"/>
      <c r="GP168" s="25"/>
      <c r="GQ168" s="25"/>
      <c r="GR168" s="25"/>
      <c r="GS168" s="25"/>
      <c r="GT168" s="25"/>
      <c r="GU168" s="25"/>
      <c r="GV168" s="25"/>
      <c r="GW168" s="25"/>
      <c r="GX168" s="25"/>
      <c r="GY168" s="25"/>
      <c r="GZ168" s="25"/>
      <c r="HA168" s="25"/>
      <c r="HB168" s="25"/>
      <c r="HC168" s="25"/>
      <c r="HD168" s="25"/>
      <c r="HE168" s="25"/>
      <c r="HF168" s="25"/>
      <c r="HG168" s="25"/>
      <c r="HH168" s="25"/>
      <c r="HI168" s="25"/>
      <c r="HJ168" s="25"/>
      <c r="HK168" s="25"/>
      <c r="HL168" s="25"/>
      <c r="HM168" s="25"/>
      <c r="HN168" s="25"/>
      <c r="HO168" s="25"/>
      <c r="HP168" s="25"/>
      <c r="HQ168" s="25"/>
      <c r="HR168" s="25"/>
      <c r="HS168" s="25"/>
      <c r="HT168" s="25"/>
      <c r="HU168" s="25"/>
      <c r="HV168" s="25"/>
      <c r="HW168" s="25"/>
      <c r="HX168" s="25"/>
      <c r="HY168" s="25"/>
      <c r="HZ168" s="25"/>
      <c r="IA168" s="25"/>
      <c r="IB168" s="25"/>
      <c r="IC168" s="25"/>
      <c r="ID168" s="25"/>
      <c r="IE168" s="25"/>
      <c r="IF168" s="25"/>
      <c r="IG168" s="25"/>
      <c r="IH168" s="25"/>
      <c r="II168" s="25"/>
      <c r="IJ168" s="25"/>
      <c r="IK168" s="25"/>
      <c r="IL168" s="25"/>
      <c r="IM168" s="25"/>
      <c r="IN168" s="25"/>
      <c r="IO168" s="25"/>
      <c r="IP168" s="25"/>
      <c r="IQ168" s="25"/>
      <c r="IR168" s="25"/>
      <c r="IS168" s="25"/>
      <c r="IT168" s="25"/>
      <c r="IU168" s="25"/>
      <c r="IV168" s="25"/>
      <c r="IW168" s="25"/>
      <c r="IX168" s="25"/>
      <c r="IY168" s="25"/>
      <c r="IZ168" s="25"/>
      <c r="JA168" s="25"/>
      <c r="JB168" s="25"/>
      <c r="JC168" s="25"/>
      <c r="JD168" s="25"/>
      <c r="JE168" s="25"/>
      <c r="JF168" s="25"/>
      <c r="JG168" s="25"/>
      <c r="JH168" s="25"/>
      <c r="JI168" s="25"/>
      <c r="JJ168" s="25"/>
      <c r="JK168" s="25"/>
      <c r="JL168" s="25"/>
      <c r="JM168" s="25"/>
      <c r="JN168" s="25"/>
      <c r="JO168" s="25"/>
      <c r="JP168" s="25"/>
      <c r="JQ168" s="25"/>
      <c r="JR168" s="25"/>
      <c r="JS168" s="25"/>
      <c r="JT168" s="25"/>
      <c r="JU168" s="25"/>
      <c r="JV168" s="25"/>
      <c r="JW168" s="25"/>
      <c r="JX168" s="25"/>
      <c r="JY168" s="25"/>
      <c r="JZ168" s="25"/>
      <c r="KA168" s="25"/>
      <c r="KB168" s="25"/>
      <c r="KC168" s="25"/>
      <c r="KD168" s="25"/>
      <c r="KE168" s="25"/>
      <c r="KF168" s="25"/>
      <c r="KG168" s="25"/>
      <c r="KH168" s="25"/>
      <c r="KI168" s="25"/>
      <c r="KJ168" s="25"/>
      <c r="KK168" s="25"/>
      <c r="KL168" s="25"/>
      <c r="KM168" s="25"/>
      <c r="KN168" s="25"/>
      <c r="KO168" s="25"/>
      <c r="KP168" s="25"/>
      <c r="KQ168" s="25"/>
      <c r="KR168" s="25"/>
      <c r="KS168" s="25"/>
      <c r="KT168" s="25"/>
      <c r="KU168" s="25"/>
      <c r="KV168" s="25"/>
      <c r="KW168" s="25"/>
      <c r="KX168" s="25"/>
      <c r="KY168" s="25"/>
      <c r="KZ168" s="25"/>
      <c r="LA168" s="25"/>
      <c r="LB168" s="25"/>
      <c r="LC168" s="25"/>
      <c r="LD168" s="25"/>
      <c r="LE168" s="25"/>
      <c r="LF168" s="25"/>
      <c r="LG168" s="25"/>
      <c r="LH168" s="25"/>
      <c r="LI168" s="25"/>
      <c r="LJ168" s="25"/>
      <c r="LK168" s="25"/>
      <c r="LL168" s="25"/>
      <c r="LM168" s="25"/>
      <c r="LN168" s="25"/>
      <c r="LO168" s="25"/>
      <c r="LP168" s="25"/>
      <c r="LQ168" s="25"/>
      <c r="LR168" s="25"/>
      <c r="LS168" s="25"/>
      <c r="LT168" s="25"/>
      <c r="LU168" s="25"/>
      <c r="LV168" s="25"/>
      <c r="LW168" s="25"/>
      <c r="LX168" s="25"/>
      <c r="LY168" s="25"/>
      <c r="LZ168" s="25"/>
      <c r="MA168" s="25"/>
      <c r="MB168" s="25"/>
      <c r="MC168" s="25"/>
      <c r="MD168" s="25"/>
      <c r="ME168" s="25"/>
      <c r="MF168" s="25"/>
      <c r="MG168" s="25"/>
      <c r="MH168" s="25"/>
      <c r="MI168" s="25"/>
      <c r="MJ168" s="25"/>
      <c r="MK168" s="25"/>
      <c r="ML168" s="25"/>
      <c r="MM168" s="25"/>
      <c r="MN168" s="25"/>
      <c r="MO168" s="25"/>
      <c r="MP168" s="25"/>
      <c r="MQ168" s="25"/>
      <c r="MR168" s="25"/>
      <c r="MS168" s="25"/>
      <c r="MT168" s="25"/>
      <c r="MU168" s="25"/>
      <c r="MV168" s="25"/>
      <c r="MW168" s="25"/>
      <c r="MX168" s="25"/>
      <c r="MY168" s="25"/>
      <c r="MZ168" s="25"/>
      <c r="NA168" s="25"/>
      <c r="NB168" s="25"/>
      <c r="NC168" s="25"/>
      <c r="ND168" s="25"/>
      <c r="NE168" s="33"/>
      <c r="OG168" s="18">
        <v>1</v>
      </c>
      <c r="OH168" s="18">
        <v>43196</v>
      </c>
      <c r="OI168" s="18">
        <v>43248</v>
      </c>
      <c r="PJ168" s="20" t="s">
        <v>11</v>
      </c>
      <c r="PK168" s="20">
        <v>106</v>
      </c>
    </row>
    <row r="169" spans="1:427" ht="0.75" customHeight="1" x14ac:dyDescent="0.2">
      <c r="A169" s="28"/>
      <c r="B169" s="22"/>
      <c r="C169" s="22"/>
      <c r="D169" s="44"/>
      <c r="E169" s="23"/>
      <c r="F169" s="24" t="s">
        <v>10</v>
      </c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  <c r="BL169" s="25"/>
      <c r="BM169" s="25"/>
      <c r="BN169" s="25"/>
      <c r="BO169" s="25"/>
      <c r="BP169" s="25"/>
      <c r="BQ169" s="25"/>
      <c r="BR169" s="25"/>
      <c r="BS169" s="25"/>
      <c r="BT169" s="25"/>
      <c r="BU169" s="25"/>
      <c r="BV169" s="25"/>
      <c r="BW169" s="25"/>
      <c r="BX169" s="25"/>
      <c r="BY169" s="25"/>
      <c r="BZ169" s="25"/>
      <c r="CA169" s="25"/>
      <c r="CB169" s="25"/>
      <c r="CC169" s="25"/>
      <c r="CD169" s="25"/>
      <c r="CE169" s="25"/>
      <c r="CF169" s="25"/>
      <c r="CG169" s="25"/>
      <c r="CH169" s="25"/>
      <c r="CI169" s="25"/>
      <c r="CJ169" s="25"/>
      <c r="CK169" s="25"/>
      <c r="CL169" s="25"/>
      <c r="CM169" s="25"/>
      <c r="CN169" s="25"/>
      <c r="CO169" s="25"/>
      <c r="CP169" s="25"/>
      <c r="CQ169" s="25"/>
      <c r="CR169" s="25"/>
      <c r="CS169" s="25"/>
      <c r="CT169" s="25"/>
      <c r="CU169" s="25"/>
      <c r="CV169" s="25"/>
      <c r="CW169" s="25"/>
      <c r="CX169" s="25"/>
      <c r="CY169" s="25"/>
      <c r="CZ169" s="25"/>
      <c r="DA169" s="25"/>
      <c r="DB169" s="25"/>
      <c r="DC169" s="25"/>
      <c r="DD169" s="25"/>
      <c r="DE169" s="25"/>
      <c r="DF169" s="25"/>
      <c r="DG169" s="25"/>
      <c r="DH169" s="25"/>
      <c r="DI169" s="25"/>
      <c r="DJ169" s="25"/>
      <c r="DK169" s="25"/>
      <c r="DL169" s="25"/>
      <c r="DM169" s="25"/>
      <c r="DN169" s="25"/>
      <c r="DO169" s="25"/>
      <c r="DP169" s="25"/>
      <c r="DQ169" s="25"/>
      <c r="DR169" s="25"/>
      <c r="DS169" s="25"/>
      <c r="DT169" s="25"/>
      <c r="DU169" s="25"/>
      <c r="DV169" s="25"/>
      <c r="DW169" s="25"/>
      <c r="DX169" s="25"/>
      <c r="DY169" s="25"/>
      <c r="DZ169" s="25"/>
      <c r="EA169" s="25"/>
      <c r="EB169" s="25"/>
      <c r="EC169" s="25"/>
      <c r="ED169" s="25"/>
      <c r="EE169" s="25"/>
      <c r="EF169" s="25"/>
      <c r="EG169" s="25"/>
      <c r="EH169" s="25"/>
      <c r="EI169" s="25"/>
      <c r="EJ169" s="25"/>
      <c r="EK169" s="25"/>
      <c r="EL169" s="25"/>
      <c r="EM169" s="25"/>
      <c r="EN169" s="25"/>
      <c r="EO169" s="25"/>
      <c r="EP169" s="25"/>
      <c r="EQ169" s="25"/>
      <c r="ER169" s="25"/>
      <c r="ES169" s="25"/>
      <c r="ET169" s="25"/>
      <c r="EU169" s="25"/>
      <c r="EV169" s="25"/>
      <c r="EW169" s="25"/>
      <c r="EX169" s="25"/>
      <c r="EY169" s="25"/>
      <c r="EZ169" s="25"/>
      <c r="FA169" s="25"/>
      <c r="FB169" s="25"/>
      <c r="FC169" s="25"/>
      <c r="FD169" s="25"/>
      <c r="FE169" s="25"/>
      <c r="FF169" s="25"/>
      <c r="FG169" s="25"/>
      <c r="FH169" s="25"/>
      <c r="FI169" s="25"/>
      <c r="FJ169" s="25"/>
      <c r="FK169" s="25"/>
      <c r="FL169" s="25"/>
      <c r="FM169" s="25"/>
      <c r="FN169" s="25"/>
      <c r="FO169" s="25"/>
      <c r="FP169" s="25"/>
      <c r="FQ169" s="25"/>
      <c r="FR169" s="25"/>
      <c r="FS169" s="25"/>
      <c r="FT169" s="25"/>
      <c r="FU169" s="25"/>
      <c r="FV169" s="25"/>
      <c r="FW169" s="25"/>
      <c r="FX169" s="25"/>
      <c r="FY169" s="25"/>
      <c r="FZ169" s="25"/>
      <c r="GA169" s="25"/>
      <c r="GB169" s="25"/>
      <c r="GC169" s="25"/>
      <c r="GD169" s="25"/>
      <c r="GE169" s="25"/>
      <c r="GF169" s="25"/>
      <c r="GG169" s="25"/>
      <c r="GH169" s="25"/>
      <c r="GI169" s="25"/>
      <c r="GJ169" s="25"/>
      <c r="GK169" s="25"/>
      <c r="GL169" s="25"/>
      <c r="GM169" s="25"/>
      <c r="GN169" s="25"/>
      <c r="GO169" s="25"/>
      <c r="GP169" s="25"/>
      <c r="GQ169" s="25"/>
      <c r="GR169" s="25"/>
      <c r="GS169" s="25"/>
      <c r="GT169" s="25"/>
      <c r="GU169" s="25"/>
      <c r="GV169" s="25"/>
      <c r="GW169" s="25"/>
      <c r="GX169" s="25"/>
      <c r="GY169" s="25"/>
      <c r="GZ169" s="25"/>
      <c r="HA169" s="25"/>
      <c r="HB169" s="25"/>
      <c r="HC169" s="25"/>
      <c r="HD169" s="25"/>
      <c r="HE169" s="25"/>
      <c r="HF169" s="25"/>
      <c r="HG169" s="25"/>
      <c r="HH169" s="25"/>
      <c r="HI169" s="25"/>
      <c r="HJ169" s="25"/>
      <c r="HK169" s="25"/>
      <c r="HL169" s="25"/>
      <c r="HM169" s="25"/>
      <c r="HN169" s="25"/>
      <c r="HO169" s="25"/>
      <c r="HP169" s="25"/>
      <c r="HQ169" s="25"/>
      <c r="HR169" s="25"/>
      <c r="HS169" s="25"/>
      <c r="HT169" s="25"/>
      <c r="HU169" s="25"/>
      <c r="HV169" s="25"/>
      <c r="HW169" s="25"/>
      <c r="HX169" s="25"/>
      <c r="HY169" s="25"/>
      <c r="HZ169" s="25"/>
      <c r="IA169" s="25"/>
      <c r="IB169" s="25"/>
      <c r="IC169" s="25"/>
      <c r="ID169" s="25"/>
      <c r="IE169" s="25"/>
      <c r="IF169" s="25"/>
      <c r="IG169" s="25"/>
      <c r="IH169" s="25"/>
      <c r="II169" s="25"/>
      <c r="IJ169" s="25"/>
      <c r="IK169" s="25"/>
      <c r="IL169" s="25"/>
      <c r="IM169" s="25"/>
      <c r="IN169" s="25"/>
      <c r="IO169" s="25"/>
      <c r="IP169" s="25"/>
      <c r="IQ169" s="25"/>
      <c r="IR169" s="25"/>
      <c r="IS169" s="25"/>
      <c r="IT169" s="25"/>
      <c r="IU169" s="25"/>
      <c r="IV169" s="25"/>
      <c r="IW169" s="25"/>
      <c r="IX169" s="25"/>
      <c r="IY169" s="25"/>
      <c r="IZ169" s="25"/>
      <c r="JA169" s="25"/>
      <c r="JB169" s="25"/>
      <c r="JC169" s="25"/>
      <c r="JD169" s="25"/>
      <c r="JE169" s="25"/>
      <c r="JF169" s="25"/>
      <c r="JG169" s="25"/>
      <c r="JH169" s="25"/>
      <c r="JI169" s="25"/>
      <c r="JJ169" s="25"/>
      <c r="JK169" s="25"/>
      <c r="JL169" s="25"/>
      <c r="JM169" s="25"/>
      <c r="JN169" s="25"/>
      <c r="JO169" s="25"/>
      <c r="JP169" s="25"/>
      <c r="JQ169" s="25"/>
      <c r="JR169" s="25"/>
      <c r="JS169" s="25"/>
      <c r="JT169" s="25"/>
      <c r="JU169" s="25"/>
      <c r="JV169" s="25"/>
      <c r="JW169" s="25"/>
      <c r="JX169" s="25"/>
      <c r="JY169" s="25"/>
      <c r="JZ169" s="25"/>
      <c r="KA169" s="25"/>
      <c r="KB169" s="25"/>
      <c r="KC169" s="25"/>
      <c r="KD169" s="25"/>
      <c r="KE169" s="25"/>
      <c r="KF169" s="25"/>
      <c r="KG169" s="25"/>
      <c r="KH169" s="25"/>
      <c r="KI169" s="25"/>
      <c r="KJ169" s="25"/>
      <c r="KK169" s="25"/>
      <c r="KL169" s="25"/>
      <c r="KM169" s="25"/>
      <c r="KN169" s="25"/>
      <c r="KO169" s="25"/>
      <c r="KP169" s="25"/>
      <c r="KQ169" s="25"/>
      <c r="KR169" s="25"/>
      <c r="KS169" s="25"/>
      <c r="KT169" s="25"/>
      <c r="KU169" s="25"/>
      <c r="KV169" s="25"/>
      <c r="KW169" s="25"/>
      <c r="KX169" s="25"/>
      <c r="KY169" s="25"/>
      <c r="KZ169" s="25"/>
      <c r="LA169" s="25"/>
      <c r="LB169" s="25"/>
      <c r="LC169" s="25"/>
      <c r="LD169" s="25"/>
      <c r="LE169" s="25"/>
      <c r="LF169" s="25"/>
      <c r="LG169" s="25"/>
      <c r="LH169" s="25"/>
      <c r="LI169" s="25"/>
      <c r="LJ169" s="25"/>
      <c r="LK169" s="25"/>
      <c r="LL169" s="25"/>
      <c r="LM169" s="25"/>
      <c r="LN169" s="25"/>
      <c r="LO169" s="25"/>
      <c r="LP169" s="25"/>
      <c r="LQ169" s="25"/>
      <c r="LR169" s="25"/>
      <c r="LS169" s="25"/>
      <c r="LT169" s="25"/>
      <c r="LU169" s="25"/>
      <c r="LV169" s="25"/>
      <c r="LW169" s="25"/>
      <c r="LX169" s="25"/>
      <c r="LY169" s="25"/>
      <c r="LZ169" s="25"/>
      <c r="MA169" s="25"/>
      <c r="MB169" s="25"/>
      <c r="MC169" s="25"/>
      <c r="MD169" s="25"/>
      <c r="ME169" s="25"/>
      <c r="MF169" s="25"/>
      <c r="MG169" s="25"/>
      <c r="MH169" s="25"/>
      <c r="MI169" s="25"/>
      <c r="MJ169" s="25"/>
      <c r="MK169" s="25"/>
      <c r="ML169" s="25"/>
      <c r="MM169" s="25"/>
      <c r="MN169" s="25"/>
      <c r="MO169" s="25"/>
      <c r="MP169" s="25"/>
      <c r="MQ169" s="25"/>
      <c r="MR169" s="25"/>
      <c r="MS169" s="25"/>
      <c r="MT169" s="25"/>
      <c r="MU169" s="25"/>
      <c r="MV169" s="25"/>
      <c r="MW169" s="25"/>
      <c r="MX169" s="25"/>
      <c r="MY169" s="25"/>
      <c r="MZ169" s="25"/>
      <c r="NA169" s="25"/>
      <c r="NB169" s="25"/>
      <c r="NC169" s="25"/>
      <c r="ND169" s="25"/>
      <c r="NE169" s="33"/>
    </row>
    <row r="170" spans="1:427" ht="13.5" customHeight="1" x14ac:dyDescent="0.2">
      <c r="A170" s="28"/>
      <c r="B170" s="22"/>
      <c r="C170" s="26"/>
      <c r="D170" s="44"/>
      <c r="E170" s="23"/>
      <c r="F170" s="24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  <c r="BL170" s="25"/>
      <c r="BM170" s="25"/>
      <c r="BN170" s="25"/>
      <c r="BO170" s="25"/>
      <c r="BP170" s="25"/>
      <c r="BQ170" s="25"/>
      <c r="BR170" s="25"/>
      <c r="BS170" s="25"/>
      <c r="BT170" s="25"/>
      <c r="BU170" s="25"/>
      <c r="BV170" s="25"/>
      <c r="BW170" s="25"/>
      <c r="BX170" s="25"/>
      <c r="BY170" s="25"/>
      <c r="BZ170" s="25"/>
      <c r="CA170" s="25"/>
      <c r="CB170" s="25"/>
      <c r="CC170" s="25"/>
      <c r="CD170" s="25"/>
      <c r="CE170" s="25"/>
      <c r="CF170" s="25"/>
      <c r="CG170" s="25"/>
      <c r="CH170" s="25"/>
      <c r="CI170" s="25"/>
      <c r="CJ170" s="25"/>
      <c r="CK170" s="25"/>
      <c r="CL170" s="25"/>
      <c r="CM170" s="25"/>
      <c r="CN170" s="25"/>
      <c r="CO170" s="25"/>
      <c r="CP170" s="25"/>
      <c r="CQ170" s="25"/>
      <c r="CR170" s="25"/>
      <c r="CS170" s="25"/>
      <c r="CT170" s="25"/>
      <c r="CU170" s="25"/>
      <c r="CV170" s="25"/>
      <c r="CW170" s="25"/>
      <c r="CX170" s="25"/>
      <c r="CY170" s="25"/>
      <c r="CZ170" s="25"/>
      <c r="DA170" s="25"/>
      <c r="DB170" s="25"/>
      <c r="DC170" s="25"/>
      <c r="DD170" s="25"/>
      <c r="DE170" s="25"/>
      <c r="DF170" s="25"/>
      <c r="DG170" s="25"/>
      <c r="DH170" s="25"/>
      <c r="DI170" s="25"/>
      <c r="DJ170" s="25"/>
      <c r="DK170" s="25"/>
      <c r="DL170" s="25"/>
      <c r="DM170" s="25"/>
      <c r="DN170" s="25"/>
      <c r="DO170" s="25"/>
      <c r="DP170" s="25"/>
      <c r="DQ170" s="25"/>
      <c r="DR170" s="25"/>
      <c r="DS170" s="25"/>
      <c r="DT170" s="25"/>
      <c r="DU170" s="25"/>
      <c r="DV170" s="25"/>
      <c r="DW170" s="25"/>
      <c r="DX170" s="25"/>
      <c r="DY170" s="25"/>
      <c r="DZ170" s="25"/>
      <c r="EA170" s="25"/>
      <c r="EB170" s="25"/>
      <c r="EC170" s="25"/>
      <c r="ED170" s="25"/>
      <c r="EE170" s="25"/>
      <c r="EF170" s="25"/>
      <c r="EG170" s="25"/>
      <c r="EH170" s="25"/>
      <c r="EI170" s="25"/>
      <c r="EJ170" s="25"/>
      <c r="EK170" s="25"/>
      <c r="EL170" s="25"/>
      <c r="EM170" s="25"/>
      <c r="EN170" s="25"/>
      <c r="EO170" s="25"/>
      <c r="EP170" s="25"/>
      <c r="EQ170" s="25"/>
      <c r="ER170" s="25"/>
      <c r="ES170" s="25"/>
      <c r="ET170" s="25"/>
      <c r="EU170" s="25"/>
      <c r="EV170" s="25"/>
      <c r="EW170" s="25"/>
      <c r="EX170" s="25"/>
      <c r="EY170" s="25"/>
      <c r="EZ170" s="25"/>
      <c r="FA170" s="25"/>
      <c r="FB170" s="25"/>
      <c r="FC170" s="25"/>
      <c r="FD170" s="25"/>
      <c r="FE170" s="25"/>
      <c r="FF170" s="25"/>
      <c r="FG170" s="25"/>
      <c r="FH170" s="25"/>
      <c r="FI170" s="25"/>
      <c r="FJ170" s="25"/>
      <c r="FK170" s="25"/>
      <c r="FL170" s="25"/>
      <c r="FM170" s="25"/>
      <c r="FN170" s="25"/>
      <c r="FO170" s="25"/>
      <c r="FP170" s="25"/>
      <c r="FQ170" s="25"/>
      <c r="FR170" s="25"/>
      <c r="FS170" s="25"/>
      <c r="FT170" s="25"/>
      <c r="FU170" s="25"/>
      <c r="FV170" s="25"/>
      <c r="FW170" s="25"/>
      <c r="FX170" s="25"/>
      <c r="FY170" s="25"/>
      <c r="FZ170" s="25"/>
      <c r="GA170" s="25"/>
      <c r="GB170" s="25"/>
      <c r="GC170" s="25"/>
      <c r="GD170" s="25"/>
      <c r="GE170" s="25"/>
      <c r="GF170" s="25"/>
      <c r="GG170" s="25"/>
      <c r="GH170" s="25"/>
      <c r="GI170" s="25"/>
      <c r="GJ170" s="25"/>
      <c r="GK170" s="25"/>
      <c r="GL170" s="25"/>
      <c r="GM170" s="25"/>
      <c r="GN170" s="25"/>
      <c r="GO170" s="25"/>
      <c r="GP170" s="25"/>
      <c r="GQ170" s="25"/>
      <c r="GR170" s="25"/>
      <c r="GS170" s="25"/>
      <c r="GT170" s="25"/>
      <c r="GU170" s="25"/>
      <c r="GV170" s="25"/>
      <c r="GW170" s="25"/>
      <c r="GX170" s="25"/>
      <c r="GY170" s="25"/>
      <c r="GZ170" s="25"/>
      <c r="HA170" s="25"/>
      <c r="HB170" s="25"/>
      <c r="HC170" s="25"/>
      <c r="HD170" s="25"/>
      <c r="HE170" s="25"/>
      <c r="HF170" s="25"/>
      <c r="HG170" s="25"/>
      <c r="HH170" s="25"/>
      <c r="HI170" s="25"/>
      <c r="HJ170" s="25"/>
      <c r="HK170" s="25"/>
      <c r="HL170" s="25"/>
      <c r="HM170" s="25"/>
      <c r="HN170" s="25"/>
      <c r="HO170" s="25"/>
      <c r="HP170" s="25"/>
      <c r="HQ170" s="25"/>
      <c r="HR170" s="25"/>
      <c r="HS170" s="25"/>
      <c r="HT170" s="25"/>
      <c r="HU170" s="25"/>
      <c r="HV170" s="25"/>
      <c r="HW170" s="25"/>
      <c r="HX170" s="25"/>
      <c r="HY170" s="25"/>
      <c r="HZ170" s="25"/>
      <c r="IA170" s="25"/>
      <c r="IB170" s="25"/>
      <c r="IC170" s="25"/>
      <c r="ID170" s="25"/>
      <c r="IE170" s="25"/>
      <c r="IF170" s="25"/>
      <c r="IG170" s="25"/>
      <c r="IH170" s="25"/>
      <c r="II170" s="25"/>
      <c r="IJ170" s="25"/>
      <c r="IK170" s="25"/>
      <c r="IL170" s="25"/>
      <c r="IM170" s="25"/>
      <c r="IN170" s="25"/>
      <c r="IO170" s="25"/>
      <c r="IP170" s="25"/>
      <c r="IQ170" s="25"/>
      <c r="IR170" s="25"/>
      <c r="IS170" s="25"/>
      <c r="IT170" s="25"/>
      <c r="IU170" s="25"/>
      <c r="IV170" s="25"/>
      <c r="IW170" s="25"/>
      <c r="IX170" s="25"/>
      <c r="IY170" s="25"/>
      <c r="IZ170" s="25"/>
      <c r="JA170" s="25"/>
      <c r="JB170" s="25"/>
      <c r="JC170" s="25"/>
      <c r="JD170" s="25"/>
      <c r="JE170" s="25"/>
      <c r="JF170" s="25"/>
      <c r="JG170" s="25"/>
      <c r="JH170" s="25"/>
      <c r="JI170" s="25"/>
      <c r="JJ170" s="25"/>
      <c r="JK170" s="25"/>
      <c r="JL170" s="25"/>
      <c r="JM170" s="25"/>
      <c r="JN170" s="25"/>
      <c r="JO170" s="25"/>
      <c r="JP170" s="25"/>
      <c r="JQ170" s="25"/>
      <c r="JR170" s="25"/>
      <c r="JS170" s="25"/>
      <c r="JT170" s="25"/>
      <c r="JU170" s="25"/>
      <c r="JV170" s="25"/>
      <c r="JW170" s="25"/>
      <c r="JX170" s="25"/>
      <c r="JY170" s="25"/>
      <c r="JZ170" s="25"/>
      <c r="KA170" s="25"/>
      <c r="KB170" s="25"/>
      <c r="KC170" s="25"/>
      <c r="KD170" s="25"/>
      <c r="KE170" s="25"/>
      <c r="KF170" s="25"/>
      <c r="KG170" s="25"/>
      <c r="KH170" s="25"/>
      <c r="KI170" s="25"/>
      <c r="KJ170" s="25"/>
      <c r="KK170" s="25"/>
      <c r="KL170" s="25"/>
      <c r="KM170" s="25"/>
      <c r="KN170" s="25"/>
      <c r="KO170" s="25"/>
      <c r="KP170" s="25"/>
      <c r="KQ170" s="25"/>
      <c r="KR170" s="25"/>
      <c r="KS170" s="25"/>
      <c r="KT170" s="25"/>
      <c r="KU170" s="25"/>
      <c r="KV170" s="25"/>
      <c r="KW170" s="25"/>
      <c r="KX170" s="25"/>
      <c r="KY170" s="25"/>
      <c r="KZ170" s="25"/>
      <c r="LA170" s="25"/>
      <c r="LB170" s="25"/>
      <c r="LC170" s="25"/>
      <c r="LD170" s="25"/>
      <c r="LE170" s="25"/>
      <c r="LF170" s="25"/>
      <c r="LG170" s="25"/>
      <c r="LH170" s="25"/>
      <c r="LI170" s="25"/>
      <c r="LJ170" s="25"/>
      <c r="LK170" s="25"/>
      <c r="LL170" s="25"/>
      <c r="LM170" s="25"/>
      <c r="LN170" s="25"/>
      <c r="LO170" s="25"/>
      <c r="LP170" s="25"/>
      <c r="LQ170" s="25"/>
      <c r="LR170" s="25"/>
      <c r="LS170" s="25"/>
      <c r="LT170" s="25"/>
      <c r="LU170" s="25"/>
      <c r="LV170" s="25"/>
      <c r="LW170" s="25"/>
      <c r="LX170" s="25"/>
      <c r="LY170" s="25"/>
      <c r="LZ170" s="25"/>
      <c r="MA170" s="25"/>
      <c r="MB170" s="25"/>
      <c r="MC170" s="25"/>
      <c r="MD170" s="25"/>
      <c r="ME170" s="25"/>
      <c r="MF170" s="25"/>
      <c r="MG170" s="25"/>
      <c r="MH170" s="25"/>
      <c r="MI170" s="25"/>
      <c r="MJ170" s="25"/>
      <c r="MK170" s="25"/>
      <c r="ML170" s="25"/>
      <c r="MM170" s="25"/>
      <c r="MN170" s="25"/>
      <c r="MO170" s="25"/>
      <c r="MP170" s="25"/>
      <c r="MQ170" s="25"/>
      <c r="MR170" s="25"/>
      <c r="MS170" s="25"/>
      <c r="MT170" s="25"/>
      <c r="MU170" s="25"/>
      <c r="MV170" s="25"/>
      <c r="MW170" s="25"/>
      <c r="MX170" s="25"/>
      <c r="MY170" s="25"/>
      <c r="MZ170" s="25"/>
      <c r="NA170" s="25"/>
      <c r="NB170" s="25"/>
      <c r="NC170" s="25"/>
      <c r="ND170" s="25"/>
      <c r="NE170" s="33"/>
      <c r="OG170" s="18">
        <v>1</v>
      </c>
      <c r="OH170" s="18">
        <v>43336</v>
      </c>
      <c r="OI170" s="18">
        <v>43388</v>
      </c>
      <c r="PJ170" s="20" t="s">
        <v>11</v>
      </c>
      <c r="PK170" s="20">
        <v>106</v>
      </c>
    </row>
    <row r="171" spans="1:427" ht="13.5" customHeight="1" x14ac:dyDescent="0.2">
      <c r="A171" s="28"/>
      <c r="B171" s="22"/>
      <c r="C171" s="26"/>
      <c r="D171" s="44"/>
      <c r="E171" s="23"/>
      <c r="F171" s="24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  <c r="BL171" s="25"/>
      <c r="BM171" s="25"/>
      <c r="BN171" s="25"/>
      <c r="BO171" s="25"/>
      <c r="BP171" s="25"/>
      <c r="BQ171" s="25"/>
      <c r="BR171" s="25"/>
      <c r="BS171" s="25"/>
      <c r="BT171" s="25"/>
      <c r="BU171" s="25"/>
      <c r="BV171" s="25"/>
      <c r="BW171" s="25"/>
      <c r="BX171" s="25"/>
      <c r="BY171" s="25"/>
      <c r="BZ171" s="25"/>
      <c r="CA171" s="25"/>
      <c r="CB171" s="25"/>
      <c r="CC171" s="25"/>
      <c r="CD171" s="25"/>
      <c r="CE171" s="25"/>
      <c r="CF171" s="25"/>
      <c r="CG171" s="25"/>
      <c r="CH171" s="25"/>
      <c r="CI171" s="25"/>
      <c r="CJ171" s="25"/>
      <c r="CK171" s="25"/>
      <c r="CL171" s="25"/>
      <c r="CM171" s="25"/>
      <c r="CN171" s="25"/>
      <c r="CO171" s="25"/>
      <c r="CP171" s="25"/>
      <c r="CQ171" s="25"/>
      <c r="CR171" s="25"/>
      <c r="CS171" s="25"/>
      <c r="CT171" s="25"/>
      <c r="CU171" s="25"/>
      <c r="CV171" s="25"/>
      <c r="CW171" s="25"/>
      <c r="CX171" s="25"/>
      <c r="CY171" s="25"/>
      <c r="CZ171" s="25"/>
      <c r="DA171" s="25"/>
      <c r="DB171" s="25"/>
      <c r="DC171" s="25"/>
      <c r="DD171" s="25"/>
      <c r="DE171" s="25"/>
      <c r="DF171" s="25"/>
      <c r="DG171" s="25"/>
      <c r="DH171" s="25"/>
      <c r="DI171" s="25"/>
      <c r="DJ171" s="25"/>
      <c r="DK171" s="25"/>
      <c r="DL171" s="25"/>
      <c r="DM171" s="25"/>
      <c r="DN171" s="25"/>
      <c r="DO171" s="25"/>
      <c r="DP171" s="25"/>
      <c r="DQ171" s="25"/>
      <c r="DR171" s="25"/>
      <c r="DS171" s="25"/>
      <c r="DT171" s="25"/>
      <c r="DU171" s="25"/>
      <c r="DV171" s="25"/>
      <c r="DW171" s="25"/>
      <c r="DX171" s="25"/>
      <c r="DY171" s="25"/>
      <c r="DZ171" s="25"/>
      <c r="EA171" s="25"/>
      <c r="EB171" s="25"/>
      <c r="EC171" s="25"/>
      <c r="ED171" s="25"/>
      <c r="EE171" s="25"/>
      <c r="EF171" s="25"/>
      <c r="EG171" s="25"/>
      <c r="EH171" s="25"/>
      <c r="EI171" s="25"/>
      <c r="EJ171" s="25"/>
      <c r="EK171" s="25"/>
      <c r="EL171" s="25"/>
      <c r="EM171" s="25"/>
      <c r="EN171" s="25"/>
      <c r="EO171" s="25"/>
      <c r="EP171" s="25"/>
      <c r="EQ171" s="25"/>
      <c r="ER171" s="25"/>
      <c r="ES171" s="25"/>
      <c r="ET171" s="25"/>
      <c r="EU171" s="25"/>
      <c r="EV171" s="25"/>
      <c r="EW171" s="25"/>
      <c r="EX171" s="25"/>
      <c r="EY171" s="25"/>
      <c r="EZ171" s="25"/>
      <c r="FA171" s="25"/>
      <c r="FB171" s="25"/>
      <c r="FC171" s="25"/>
      <c r="FD171" s="25"/>
      <c r="FE171" s="25"/>
      <c r="FF171" s="25"/>
      <c r="FG171" s="25"/>
      <c r="FH171" s="25"/>
      <c r="FI171" s="25"/>
      <c r="FJ171" s="25"/>
      <c r="FK171" s="25"/>
      <c r="FL171" s="25"/>
      <c r="FM171" s="25"/>
      <c r="FN171" s="25"/>
      <c r="FO171" s="25"/>
      <c r="FP171" s="25"/>
      <c r="FQ171" s="25"/>
      <c r="FR171" s="25"/>
      <c r="FS171" s="25"/>
      <c r="FT171" s="25"/>
      <c r="FU171" s="25"/>
      <c r="FV171" s="25"/>
      <c r="FW171" s="25"/>
      <c r="FX171" s="25"/>
      <c r="FY171" s="25"/>
      <c r="FZ171" s="25"/>
      <c r="GA171" s="25"/>
      <c r="GB171" s="25"/>
      <c r="GC171" s="25"/>
      <c r="GD171" s="25"/>
      <c r="GE171" s="25"/>
      <c r="GF171" s="25"/>
      <c r="GG171" s="25"/>
      <c r="GH171" s="25"/>
      <c r="GI171" s="25"/>
      <c r="GJ171" s="25"/>
      <c r="GK171" s="25"/>
      <c r="GL171" s="25"/>
      <c r="GM171" s="25"/>
      <c r="GN171" s="25"/>
      <c r="GO171" s="25"/>
      <c r="GP171" s="25"/>
      <c r="GQ171" s="25"/>
      <c r="GR171" s="25"/>
      <c r="GS171" s="25"/>
      <c r="GT171" s="25"/>
      <c r="GU171" s="25"/>
      <c r="GV171" s="25"/>
      <c r="GW171" s="25"/>
      <c r="GX171" s="25"/>
      <c r="GY171" s="25"/>
      <c r="GZ171" s="25"/>
      <c r="HA171" s="25"/>
      <c r="HB171" s="25"/>
      <c r="HC171" s="25"/>
      <c r="HD171" s="25"/>
      <c r="HE171" s="25"/>
      <c r="HF171" s="25"/>
      <c r="HG171" s="25"/>
      <c r="HH171" s="25"/>
      <c r="HI171" s="25"/>
      <c r="HJ171" s="25"/>
      <c r="HK171" s="25"/>
      <c r="HL171" s="25"/>
      <c r="HM171" s="25"/>
      <c r="HN171" s="25"/>
      <c r="HO171" s="25"/>
      <c r="HP171" s="25"/>
      <c r="HQ171" s="25"/>
      <c r="HR171" s="25"/>
      <c r="HS171" s="25"/>
      <c r="HT171" s="25"/>
      <c r="HU171" s="25"/>
      <c r="HV171" s="25"/>
      <c r="HW171" s="25"/>
      <c r="HX171" s="25"/>
      <c r="HY171" s="25"/>
      <c r="HZ171" s="25"/>
      <c r="IA171" s="25"/>
      <c r="IB171" s="25"/>
      <c r="IC171" s="25"/>
      <c r="ID171" s="25"/>
      <c r="IE171" s="25"/>
      <c r="IF171" s="25"/>
      <c r="IG171" s="25"/>
      <c r="IH171" s="25"/>
      <c r="II171" s="25"/>
      <c r="IJ171" s="25"/>
      <c r="IK171" s="25"/>
      <c r="IL171" s="25"/>
      <c r="IM171" s="25"/>
      <c r="IN171" s="25"/>
      <c r="IO171" s="25"/>
      <c r="IP171" s="25"/>
      <c r="IQ171" s="25"/>
      <c r="IR171" s="25"/>
      <c r="IS171" s="25"/>
      <c r="IT171" s="25"/>
      <c r="IU171" s="25"/>
      <c r="IV171" s="25"/>
      <c r="IW171" s="25"/>
      <c r="IX171" s="25"/>
      <c r="IY171" s="25"/>
      <c r="IZ171" s="25"/>
      <c r="JA171" s="25"/>
      <c r="JB171" s="25"/>
      <c r="JC171" s="25"/>
      <c r="JD171" s="25"/>
      <c r="JE171" s="25"/>
      <c r="JF171" s="25"/>
      <c r="JG171" s="25"/>
      <c r="JH171" s="25"/>
      <c r="JI171" s="25"/>
      <c r="JJ171" s="25"/>
      <c r="JK171" s="25"/>
      <c r="JL171" s="25"/>
      <c r="JM171" s="25"/>
      <c r="JN171" s="25"/>
      <c r="JO171" s="25"/>
      <c r="JP171" s="25"/>
      <c r="JQ171" s="25"/>
      <c r="JR171" s="25"/>
      <c r="JS171" s="25"/>
      <c r="JT171" s="25"/>
      <c r="JU171" s="25"/>
      <c r="JV171" s="25"/>
      <c r="JW171" s="25"/>
      <c r="JX171" s="25"/>
      <c r="JY171" s="25"/>
      <c r="JZ171" s="25"/>
      <c r="KA171" s="25"/>
      <c r="KB171" s="25"/>
      <c r="KC171" s="25"/>
      <c r="KD171" s="25"/>
      <c r="KE171" s="25"/>
      <c r="KF171" s="25"/>
      <c r="KG171" s="25"/>
      <c r="KH171" s="25"/>
      <c r="KI171" s="25"/>
      <c r="KJ171" s="25"/>
      <c r="KK171" s="25"/>
      <c r="KL171" s="25"/>
      <c r="KM171" s="25"/>
      <c r="KN171" s="25"/>
      <c r="KO171" s="25"/>
      <c r="KP171" s="25"/>
      <c r="KQ171" s="25"/>
      <c r="KR171" s="25"/>
      <c r="KS171" s="25"/>
      <c r="KT171" s="25"/>
      <c r="KU171" s="25"/>
      <c r="KV171" s="25"/>
      <c r="KW171" s="25"/>
      <c r="KX171" s="25"/>
      <c r="KY171" s="25"/>
      <c r="KZ171" s="25"/>
      <c r="LA171" s="25"/>
      <c r="LB171" s="25"/>
      <c r="LC171" s="25"/>
      <c r="LD171" s="25"/>
      <c r="LE171" s="25"/>
      <c r="LF171" s="25"/>
      <c r="LG171" s="25"/>
      <c r="LH171" s="25"/>
      <c r="LI171" s="25"/>
      <c r="LJ171" s="25"/>
      <c r="LK171" s="25"/>
      <c r="LL171" s="25"/>
      <c r="LM171" s="25"/>
      <c r="LN171" s="25"/>
      <c r="LO171" s="25"/>
      <c r="LP171" s="25"/>
      <c r="LQ171" s="25"/>
      <c r="LR171" s="25"/>
      <c r="LS171" s="25"/>
      <c r="LT171" s="25"/>
      <c r="LU171" s="25"/>
      <c r="LV171" s="25"/>
      <c r="LW171" s="25"/>
      <c r="LX171" s="25"/>
      <c r="LY171" s="25"/>
      <c r="LZ171" s="25"/>
      <c r="MA171" s="25"/>
      <c r="MB171" s="25"/>
      <c r="MC171" s="25"/>
      <c r="MD171" s="25"/>
      <c r="ME171" s="25"/>
      <c r="MF171" s="25"/>
      <c r="MG171" s="25"/>
      <c r="MH171" s="25"/>
      <c r="MI171" s="25"/>
      <c r="MJ171" s="25"/>
      <c r="MK171" s="25"/>
      <c r="ML171" s="25"/>
      <c r="MM171" s="25"/>
      <c r="MN171" s="25"/>
      <c r="MO171" s="25"/>
      <c r="MP171" s="25"/>
      <c r="MQ171" s="25"/>
      <c r="MR171" s="25"/>
      <c r="MS171" s="25"/>
      <c r="MT171" s="25"/>
      <c r="MU171" s="25"/>
      <c r="MV171" s="25"/>
      <c r="MW171" s="25"/>
      <c r="MX171" s="25"/>
      <c r="MY171" s="25"/>
      <c r="MZ171" s="25"/>
      <c r="NA171" s="25"/>
      <c r="NB171" s="25"/>
      <c r="NC171" s="25"/>
      <c r="ND171" s="25"/>
      <c r="NE171" s="33"/>
      <c r="OG171" s="18">
        <v>1</v>
      </c>
      <c r="OH171" s="18">
        <v>43196</v>
      </c>
      <c r="OI171" s="18">
        <v>43248</v>
      </c>
      <c r="PJ171" s="20" t="s">
        <v>11</v>
      </c>
      <c r="PK171" s="20">
        <v>106</v>
      </c>
    </row>
    <row r="172" spans="1:427" ht="0.75" customHeight="1" x14ac:dyDescent="0.2">
      <c r="A172" s="28"/>
      <c r="B172" s="22"/>
      <c r="C172" s="22"/>
      <c r="D172" s="44"/>
      <c r="E172" s="23"/>
      <c r="F172" s="24" t="s">
        <v>10</v>
      </c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  <c r="BL172" s="25"/>
      <c r="BM172" s="25"/>
      <c r="BN172" s="25"/>
      <c r="BO172" s="25"/>
      <c r="BP172" s="25"/>
      <c r="BQ172" s="25"/>
      <c r="BR172" s="25"/>
      <c r="BS172" s="25"/>
      <c r="BT172" s="25"/>
      <c r="BU172" s="25"/>
      <c r="BV172" s="25"/>
      <c r="BW172" s="25"/>
      <c r="BX172" s="25"/>
      <c r="BY172" s="25"/>
      <c r="BZ172" s="25"/>
      <c r="CA172" s="25"/>
      <c r="CB172" s="25"/>
      <c r="CC172" s="25"/>
      <c r="CD172" s="25"/>
      <c r="CE172" s="25"/>
      <c r="CF172" s="25"/>
      <c r="CG172" s="25"/>
      <c r="CH172" s="25"/>
      <c r="CI172" s="25"/>
      <c r="CJ172" s="25"/>
      <c r="CK172" s="25"/>
      <c r="CL172" s="25"/>
      <c r="CM172" s="25"/>
      <c r="CN172" s="25"/>
      <c r="CO172" s="25"/>
      <c r="CP172" s="25"/>
      <c r="CQ172" s="25"/>
      <c r="CR172" s="25"/>
      <c r="CS172" s="25"/>
      <c r="CT172" s="25"/>
      <c r="CU172" s="25"/>
      <c r="CV172" s="25"/>
      <c r="CW172" s="25"/>
      <c r="CX172" s="25"/>
      <c r="CY172" s="25"/>
      <c r="CZ172" s="25"/>
      <c r="DA172" s="25"/>
      <c r="DB172" s="25"/>
      <c r="DC172" s="25"/>
      <c r="DD172" s="25"/>
      <c r="DE172" s="25"/>
      <c r="DF172" s="25"/>
      <c r="DG172" s="25"/>
      <c r="DH172" s="25"/>
      <c r="DI172" s="25"/>
      <c r="DJ172" s="25"/>
      <c r="DK172" s="25"/>
      <c r="DL172" s="25"/>
      <c r="DM172" s="25"/>
      <c r="DN172" s="25"/>
      <c r="DO172" s="25"/>
      <c r="DP172" s="25"/>
      <c r="DQ172" s="25"/>
      <c r="DR172" s="25"/>
      <c r="DS172" s="25"/>
      <c r="DT172" s="25"/>
      <c r="DU172" s="25"/>
      <c r="DV172" s="25"/>
      <c r="DW172" s="25"/>
      <c r="DX172" s="25"/>
      <c r="DY172" s="25"/>
      <c r="DZ172" s="25"/>
      <c r="EA172" s="25"/>
      <c r="EB172" s="25"/>
      <c r="EC172" s="25"/>
      <c r="ED172" s="25"/>
      <c r="EE172" s="25"/>
      <c r="EF172" s="25"/>
      <c r="EG172" s="25"/>
      <c r="EH172" s="25"/>
      <c r="EI172" s="25"/>
      <c r="EJ172" s="25"/>
      <c r="EK172" s="25"/>
      <c r="EL172" s="25"/>
      <c r="EM172" s="25"/>
      <c r="EN172" s="25"/>
      <c r="EO172" s="25"/>
      <c r="EP172" s="25"/>
      <c r="EQ172" s="25"/>
      <c r="ER172" s="25"/>
      <c r="ES172" s="25"/>
      <c r="ET172" s="25"/>
      <c r="EU172" s="25"/>
      <c r="EV172" s="25"/>
      <c r="EW172" s="25"/>
      <c r="EX172" s="25"/>
      <c r="EY172" s="25"/>
      <c r="EZ172" s="25"/>
      <c r="FA172" s="25"/>
      <c r="FB172" s="25"/>
      <c r="FC172" s="25"/>
      <c r="FD172" s="25"/>
      <c r="FE172" s="25"/>
      <c r="FF172" s="25"/>
      <c r="FG172" s="25"/>
      <c r="FH172" s="25"/>
      <c r="FI172" s="25"/>
      <c r="FJ172" s="25"/>
      <c r="FK172" s="25"/>
      <c r="FL172" s="25"/>
      <c r="FM172" s="25"/>
      <c r="FN172" s="25"/>
      <c r="FO172" s="25"/>
      <c r="FP172" s="25"/>
      <c r="FQ172" s="25"/>
      <c r="FR172" s="25"/>
      <c r="FS172" s="25"/>
      <c r="FT172" s="25"/>
      <c r="FU172" s="25"/>
      <c r="FV172" s="25"/>
      <c r="FW172" s="25"/>
      <c r="FX172" s="25"/>
      <c r="FY172" s="25"/>
      <c r="FZ172" s="25"/>
      <c r="GA172" s="25"/>
      <c r="GB172" s="25"/>
      <c r="GC172" s="25"/>
      <c r="GD172" s="25"/>
      <c r="GE172" s="25"/>
      <c r="GF172" s="25"/>
      <c r="GG172" s="25"/>
      <c r="GH172" s="25"/>
      <c r="GI172" s="25"/>
      <c r="GJ172" s="25"/>
      <c r="GK172" s="25"/>
      <c r="GL172" s="25"/>
      <c r="GM172" s="25"/>
      <c r="GN172" s="25"/>
      <c r="GO172" s="25"/>
      <c r="GP172" s="25"/>
      <c r="GQ172" s="25"/>
      <c r="GR172" s="25"/>
      <c r="GS172" s="25"/>
      <c r="GT172" s="25"/>
      <c r="GU172" s="25"/>
      <c r="GV172" s="25"/>
      <c r="GW172" s="25"/>
      <c r="GX172" s="25"/>
      <c r="GY172" s="25"/>
      <c r="GZ172" s="25"/>
      <c r="HA172" s="25"/>
      <c r="HB172" s="25"/>
      <c r="HC172" s="25"/>
      <c r="HD172" s="25"/>
      <c r="HE172" s="25"/>
      <c r="HF172" s="25"/>
      <c r="HG172" s="25"/>
      <c r="HH172" s="25"/>
      <c r="HI172" s="25"/>
      <c r="HJ172" s="25"/>
      <c r="HK172" s="25"/>
      <c r="HL172" s="25"/>
      <c r="HM172" s="25"/>
      <c r="HN172" s="25"/>
      <c r="HO172" s="25"/>
      <c r="HP172" s="25"/>
      <c r="HQ172" s="25"/>
      <c r="HR172" s="25"/>
      <c r="HS172" s="25"/>
      <c r="HT172" s="25"/>
      <c r="HU172" s="25"/>
      <c r="HV172" s="25"/>
      <c r="HW172" s="25"/>
      <c r="HX172" s="25"/>
      <c r="HY172" s="25"/>
      <c r="HZ172" s="25"/>
      <c r="IA172" s="25"/>
      <c r="IB172" s="25"/>
      <c r="IC172" s="25"/>
      <c r="ID172" s="25"/>
      <c r="IE172" s="25"/>
      <c r="IF172" s="25"/>
      <c r="IG172" s="25"/>
      <c r="IH172" s="25"/>
      <c r="II172" s="25"/>
      <c r="IJ172" s="25"/>
      <c r="IK172" s="25"/>
      <c r="IL172" s="25"/>
      <c r="IM172" s="25"/>
      <c r="IN172" s="25"/>
      <c r="IO172" s="25"/>
      <c r="IP172" s="25"/>
      <c r="IQ172" s="25"/>
      <c r="IR172" s="25"/>
      <c r="IS172" s="25"/>
      <c r="IT172" s="25"/>
      <c r="IU172" s="25"/>
      <c r="IV172" s="25"/>
      <c r="IW172" s="25"/>
      <c r="IX172" s="25"/>
      <c r="IY172" s="25"/>
      <c r="IZ172" s="25"/>
      <c r="JA172" s="25"/>
      <c r="JB172" s="25"/>
      <c r="JC172" s="25"/>
      <c r="JD172" s="25"/>
      <c r="JE172" s="25"/>
      <c r="JF172" s="25"/>
      <c r="JG172" s="25"/>
      <c r="JH172" s="25"/>
      <c r="JI172" s="25"/>
      <c r="JJ172" s="25"/>
      <c r="JK172" s="25"/>
      <c r="JL172" s="25"/>
      <c r="JM172" s="25"/>
      <c r="JN172" s="25"/>
      <c r="JO172" s="25"/>
      <c r="JP172" s="25"/>
      <c r="JQ172" s="25"/>
      <c r="JR172" s="25"/>
      <c r="JS172" s="25"/>
      <c r="JT172" s="25"/>
      <c r="JU172" s="25"/>
      <c r="JV172" s="25"/>
      <c r="JW172" s="25"/>
      <c r="JX172" s="25"/>
      <c r="JY172" s="25"/>
      <c r="JZ172" s="25"/>
      <c r="KA172" s="25"/>
      <c r="KB172" s="25"/>
      <c r="KC172" s="25"/>
      <c r="KD172" s="25"/>
      <c r="KE172" s="25"/>
      <c r="KF172" s="25"/>
      <c r="KG172" s="25"/>
      <c r="KH172" s="25"/>
      <c r="KI172" s="25"/>
      <c r="KJ172" s="25"/>
      <c r="KK172" s="25"/>
      <c r="KL172" s="25"/>
      <c r="KM172" s="25"/>
      <c r="KN172" s="25"/>
      <c r="KO172" s="25"/>
      <c r="KP172" s="25"/>
      <c r="KQ172" s="25"/>
      <c r="KR172" s="25"/>
      <c r="KS172" s="25"/>
      <c r="KT172" s="25"/>
      <c r="KU172" s="25"/>
      <c r="KV172" s="25"/>
      <c r="KW172" s="25"/>
      <c r="KX172" s="25"/>
      <c r="KY172" s="25"/>
      <c r="KZ172" s="25"/>
      <c r="LA172" s="25"/>
      <c r="LB172" s="25"/>
      <c r="LC172" s="25"/>
      <c r="LD172" s="25"/>
      <c r="LE172" s="25"/>
      <c r="LF172" s="25"/>
      <c r="LG172" s="25"/>
      <c r="LH172" s="25"/>
      <c r="LI172" s="25"/>
      <c r="LJ172" s="25"/>
      <c r="LK172" s="25"/>
      <c r="LL172" s="25"/>
      <c r="LM172" s="25"/>
      <c r="LN172" s="25"/>
      <c r="LO172" s="25"/>
      <c r="LP172" s="25"/>
      <c r="LQ172" s="25"/>
      <c r="LR172" s="25"/>
      <c r="LS172" s="25"/>
      <c r="LT172" s="25"/>
      <c r="LU172" s="25"/>
      <c r="LV172" s="25"/>
      <c r="LW172" s="25"/>
      <c r="LX172" s="25"/>
      <c r="LY172" s="25"/>
      <c r="LZ172" s="25"/>
      <c r="MA172" s="25"/>
      <c r="MB172" s="25"/>
      <c r="MC172" s="25"/>
      <c r="MD172" s="25"/>
      <c r="ME172" s="25"/>
      <c r="MF172" s="25"/>
      <c r="MG172" s="25"/>
      <c r="MH172" s="25"/>
      <c r="MI172" s="25"/>
      <c r="MJ172" s="25"/>
      <c r="MK172" s="25"/>
      <c r="ML172" s="25"/>
      <c r="MM172" s="25"/>
      <c r="MN172" s="25"/>
      <c r="MO172" s="25"/>
      <c r="MP172" s="25"/>
      <c r="MQ172" s="25"/>
      <c r="MR172" s="25"/>
      <c r="MS172" s="25"/>
      <c r="MT172" s="25"/>
      <c r="MU172" s="25"/>
      <c r="MV172" s="25"/>
      <c r="MW172" s="25"/>
      <c r="MX172" s="25"/>
      <c r="MY172" s="25"/>
      <c r="MZ172" s="25"/>
      <c r="NA172" s="25"/>
      <c r="NB172" s="25"/>
      <c r="NC172" s="25"/>
      <c r="ND172" s="25"/>
      <c r="NE172" s="33"/>
    </row>
    <row r="173" spans="1:427" ht="13.5" customHeight="1" x14ac:dyDescent="0.2">
      <c r="A173" s="28"/>
      <c r="B173" s="22"/>
      <c r="C173" s="26"/>
      <c r="D173" s="44"/>
      <c r="E173" s="23"/>
      <c r="F173" s="24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  <c r="BL173" s="25"/>
      <c r="BM173" s="25"/>
      <c r="BN173" s="25"/>
      <c r="BO173" s="25"/>
      <c r="BP173" s="25"/>
      <c r="BQ173" s="25"/>
      <c r="BR173" s="25"/>
      <c r="BS173" s="25"/>
      <c r="BT173" s="25"/>
      <c r="BU173" s="25"/>
      <c r="BV173" s="25"/>
      <c r="BW173" s="25"/>
      <c r="BX173" s="25"/>
      <c r="BY173" s="25"/>
      <c r="BZ173" s="25"/>
      <c r="CA173" s="25"/>
      <c r="CB173" s="25"/>
      <c r="CC173" s="25"/>
      <c r="CD173" s="25"/>
      <c r="CE173" s="25"/>
      <c r="CF173" s="25"/>
      <c r="CG173" s="25"/>
      <c r="CH173" s="25"/>
      <c r="CI173" s="25"/>
      <c r="CJ173" s="25"/>
      <c r="CK173" s="25"/>
      <c r="CL173" s="25"/>
      <c r="CM173" s="25"/>
      <c r="CN173" s="25"/>
      <c r="CO173" s="25"/>
      <c r="CP173" s="25"/>
      <c r="CQ173" s="25"/>
      <c r="CR173" s="25"/>
      <c r="CS173" s="25"/>
      <c r="CT173" s="25"/>
      <c r="CU173" s="25"/>
      <c r="CV173" s="25"/>
      <c r="CW173" s="25"/>
      <c r="CX173" s="25"/>
      <c r="CY173" s="25"/>
      <c r="CZ173" s="25"/>
      <c r="DA173" s="25"/>
      <c r="DB173" s="25"/>
      <c r="DC173" s="25"/>
      <c r="DD173" s="25"/>
      <c r="DE173" s="25"/>
      <c r="DF173" s="25"/>
      <c r="DG173" s="25"/>
      <c r="DH173" s="25"/>
      <c r="DI173" s="25"/>
      <c r="DJ173" s="25"/>
      <c r="DK173" s="25"/>
      <c r="DL173" s="25"/>
      <c r="DM173" s="25"/>
      <c r="DN173" s="25"/>
      <c r="DO173" s="25"/>
      <c r="DP173" s="25"/>
      <c r="DQ173" s="25"/>
      <c r="DR173" s="25"/>
      <c r="DS173" s="25"/>
      <c r="DT173" s="25"/>
      <c r="DU173" s="25"/>
      <c r="DV173" s="25"/>
      <c r="DW173" s="25"/>
      <c r="DX173" s="25"/>
      <c r="DY173" s="25"/>
      <c r="DZ173" s="25"/>
      <c r="EA173" s="25"/>
      <c r="EB173" s="25"/>
      <c r="EC173" s="25"/>
      <c r="ED173" s="25"/>
      <c r="EE173" s="25"/>
      <c r="EF173" s="25"/>
      <c r="EG173" s="25"/>
      <c r="EH173" s="25"/>
      <c r="EI173" s="25"/>
      <c r="EJ173" s="25"/>
      <c r="EK173" s="25"/>
      <c r="EL173" s="25"/>
      <c r="EM173" s="25"/>
      <c r="EN173" s="25"/>
      <c r="EO173" s="25"/>
      <c r="EP173" s="25"/>
      <c r="EQ173" s="25"/>
      <c r="ER173" s="25"/>
      <c r="ES173" s="25"/>
      <c r="ET173" s="25"/>
      <c r="EU173" s="25"/>
      <c r="EV173" s="25"/>
      <c r="EW173" s="25"/>
      <c r="EX173" s="25"/>
      <c r="EY173" s="25"/>
      <c r="EZ173" s="25"/>
      <c r="FA173" s="25"/>
      <c r="FB173" s="25"/>
      <c r="FC173" s="25"/>
      <c r="FD173" s="25"/>
      <c r="FE173" s="25"/>
      <c r="FF173" s="25"/>
      <c r="FG173" s="25"/>
      <c r="FH173" s="25"/>
      <c r="FI173" s="25"/>
      <c r="FJ173" s="25"/>
      <c r="FK173" s="25"/>
      <c r="FL173" s="25"/>
      <c r="FM173" s="25"/>
      <c r="FN173" s="25"/>
      <c r="FO173" s="25"/>
      <c r="FP173" s="25"/>
      <c r="FQ173" s="25"/>
      <c r="FR173" s="25"/>
      <c r="FS173" s="25"/>
      <c r="FT173" s="25"/>
      <c r="FU173" s="25"/>
      <c r="FV173" s="25"/>
      <c r="FW173" s="25"/>
      <c r="FX173" s="25"/>
      <c r="FY173" s="25"/>
      <c r="FZ173" s="25"/>
      <c r="GA173" s="25"/>
      <c r="GB173" s="25"/>
      <c r="GC173" s="25"/>
      <c r="GD173" s="25"/>
      <c r="GE173" s="25"/>
      <c r="GF173" s="25"/>
      <c r="GG173" s="25"/>
      <c r="GH173" s="25"/>
      <c r="GI173" s="25"/>
      <c r="GJ173" s="25"/>
      <c r="GK173" s="25"/>
      <c r="GL173" s="25"/>
      <c r="GM173" s="25"/>
      <c r="GN173" s="25"/>
      <c r="GO173" s="25"/>
      <c r="GP173" s="25"/>
      <c r="GQ173" s="25"/>
      <c r="GR173" s="25"/>
      <c r="GS173" s="25"/>
      <c r="GT173" s="25"/>
      <c r="GU173" s="25"/>
      <c r="GV173" s="25"/>
      <c r="GW173" s="25"/>
      <c r="GX173" s="25"/>
      <c r="GY173" s="25"/>
      <c r="GZ173" s="25"/>
      <c r="HA173" s="25"/>
      <c r="HB173" s="25"/>
      <c r="HC173" s="25"/>
      <c r="HD173" s="25"/>
      <c r="HE173" s="25"/>
      <c r="HF173" s="25"/>
      <c r="HG173" s="25"/>
      <c r="HH173" s="25"/>
      <c r="HI173" s="25"/>
      <c r="HJ173" s="25"/>
      <c r="HK173" s="25"/>
      <c r="HL173" s="25"/>
      <c r="HM173" s="25"/>
      <c r="HN173" s="25"/>
      <c r="HO173" s="25"/>
      <c r="HP173" s="25"/>
      <c r="HQ173" s="25"/>
      <c r="HR173" s="25"/>
      <c r="HS173" s="25"/>
      <c r="HT173" s="25"/>
      <c r="HU173" s="25"/>
      <c r="HV173" s="25"/>
      <c r="HW173" s="25"/>
      <c r="HX173" s="25"/>
      <c r="HY173" s="25"/>
      <c r="HZ173" s="25"/>
      <c r="IA173" s="25"/>
      <c r="IB173" s="25"/>
      <c r="IC173" s="25"/>
      <c r="ID173" s="25"/>
      <c r="IE173" s="25"/>
      <c r="IF173" s="25"/>
      <c r="IG173" s="25"/>
      <c r="IH173" s="25"/>
      <c r="II173" s="25"/>
      <c r="IJ173" s="25"/>
      <c r="IK173" s="25"/>
      <c r="IL173" s="25"/>
      <c r="IM173" s="25"/>
      <c r="IN173" s="25"/>
      <c r="IO173" s="25"/>
      <c r="IP173" s="25"/>
      <c r="IQ173" s="25"/>
      <c r="IR173" s="25"/>
      <c r="IS173" s="25"/>
      <c r="IT173" s="25"/>
      <c r="IU173" s="25"/>
      <c r="IV173" s="25"/>
      <c r="IW173" s="25"/>
      <c r="IX173" s="25"/>
      <c r="IY173" s="25"/>
      <c r="IZ173" s="25"/>
      <c r="JA173" s="25"/>
      <c r="JB173" s="25"/>
      <c r="JC173" s="25"/>
      <c r="JD173" s="25"/>
      <c r="JE173" s="25"/>
      <c r="JF173" s="25"/>
      <c r="JG173" s="25"/>
      <c r="JH173" s="25"/>
      <c r="JI173" s="25"/>
      <c r="JJ173" s="25"/>
      <c r="JK173" s="25"/>
      <c r="JL173" s="25"/>
      <c r="JM173" s="25"/>
      <c r="JN173" s="25"/>
      <c r="JO173" s="25"/>
      <c r="JP173" s="25"/>
      <c r="JQ173" s="25"/>
      <c r="JR173" s="25"/>
      <c r="JS173" s="25"/>
      <c r="JT173" s="25"/>
      <c r="JU173" s="25"/>
      <c r="JV173" s="25"/>
      <c r="JW173" s="25"/>
      <c r="JX173" s="25"/>
      <c r="JY173" s="25"/>
      <c r="JZ173" s="25"/>
      <c r="KA173" s="25"/>
      <c r="KB173" s="25"/>
      <c r="KC173" s="25"/>
      <c r="KD173" s="25"/>
      <c r="KE173" s="25"/>
      <c r="KF173" s="25"/>
      <c r="KG173" s="25"/>
      <c r="KH173" s="25"/>
      <c r="KI173" s="25"/>
      <c r="KJ173" s="25"/>
      <c r="KK173" s="25"/>
      <c r="KL173" s="25"/>
      <c r="KM173" s="25"/>
      <c r="KN173" s="25"/>
      <c r="KO173" s="25"/>
      <c r="KP173" s="25"/>
      <c r="KQ173" s="25"/>
      <c r="KR173" s="25"/>
      <c r="KS173" s="25"/>
      <c r="KT173" s="25"/>
      <c r="KU173" s="25"/>
      <c r="KV173" s="25"/>
      <c r="KW173" s="25"/>
      <c r="KX173" s="25"/>
      <c r="KY173" s="25"/>
      <c r="KZ173" s="25"/>
      <c r="LA173" s="25"/>
      <c r="LB173" s="25"/>
      <c r="LC173" s="25"/>
      <c r="LD173" s="25"/>
      <c r="LE173" s="25"/>
      <c r="LF173" s="25"/>
      <c r="LG173" s="25"/>
      <c r="LH173" s="25"/>
      <c r="LI173" s="25"/>
      <c r="LJ173" s="25"/>
      <c r="LK173" s="25"/>
      <c r="LL173" s="25"/>
      <c r="LM173" s="25"/>
      <c r="LN173" s="25"/>
      <c r="LO173" s="25"/>
      <c r="LP173" s="25"/>
      <c r="LQ173" s="25"/>
      <c r="LR173" s="25"/>
      <c r="LS173" s="25"/>
      <c r="LT173" s="25"/>
      <c r="LU173" s="25"/>
      <c r="LV173" s="25"/>
      <c r="LW173" s="25"/>
      <c r="LX173" s="25"/>
      <c r="LY173" s="25"/>
      <c r="LZ173" s="25"/>
      <c r="MA173" s="25"/>
      <c r="MB173" s="25"/>
      <c r="MC173" s="25"/>
      <c r="MD173" s="25"/>
      <c r="ME173" s="25"/>
      <c r="MF173" s="25"/>
      <c r="MG173" s="25"/>
      <c r="MH173" s="25"/>
      <c r="MI173" s="25"/>
      <c r="MJ173" s="25"/>
      <c r="MK173" s="25"/>
      <c r="ML173" s="25"/>
      <c r="MM173" s="25"/>
      <c r="MN173" s="25"/>
      <c r="MO173" s="25"/>
      <c r="MP173" s="25"/>
      <c r="MQ173" s="25"/>
      <c r="MR173" s="25"/>
      <c r="MS173" s="25"/>
      <c r="MT173" s="25"/>
      <c r="MU173" s="25"/>
      <c r="MV173" s="25"/>
      <c r="MW173" s="25"/>
      <c r="MX173" s="25"/>
      <c r="MY173" s="25"/>
      <c r="MZ173" s="25"/>
      <c r="NA173" s="25"/>
      <c r="NB173" s="25"/>
      <c r="NC173" s="25"/>
      <c r="ND173" s="25"/>
      <c r="NE173" s="33"/>
      <c r="OG173" s="18">
        <v>1</v>
      </c>
      <c r="OH173" s="18">
        <v>43336</v>
      </c>
      <c r="OI173" s="18">
        <v>43388</v>
      </c>
      <c r="PJ173" s="20" t="s">
        <v>11</v>
      </c>
      <c r="PK173" s="20">
        <v>106</v>
      </c>
    </row>
    <row r="174" spans="1:427" ht="13.5" customHeight="1" x14ac:dyDescent="0.2">
      <c r="A174" s="28"/>
      <c r="B174" s="22"/>
      <c r="C174" s="26"/>
      <c r="D174" s="44"/>
      <c r="E174" s="23"/>
      <c r="F174" s="24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  <c r="BL174" s="25"/>
      <c r="BM174" s="25"/>
      <c r="BN174" s="25"/>
      <c r="BO174" s="25"/>
      <c r="BP174" s="25"/>
      <c r="BQ174" s="25"/>
      <c r="BR174" s="25"/>
      <c r="BS174" s="25"/>
      <c r="BT174" s="25"/>
      <c r="BU174" s="25"/>
      <c r="BV174" s="25"/>
      <c r="BW174" s="25"/>
      <c r="BX174" s="25"/>
      <c r="BY174" s="25"/>
      <c r="BZ174" s="25"/>
      <c r="CA174" s="25"/>
      <c r="CB174" s="25"/>
      <c r="CC174" s="25"/>
      <c r="CD174" s="25"/>
      <c r="CE174" s="25"/>
      <c r="CF174" s="25"/>
      <c r="CG174" s="25"/>
      <c r="CH174" s="25"/>
      <c r="CI174" s="25"/>
      <c r="CJ174" s="25"/>
      <c r="CK174" s="25"/>
      <c r="CL174" s="25"/>
      <c r="CM174" s="25"/>
      <c r="CN174" s="25"/>
      <c r="CO174" s="25"/>
      <c r="CP174" s="25"/>
      <c r="CQ174" s="25"/>
      <c r="CR174" s="25"/>
      <c r="CS174" s="25"/>
      <c r="CT174" s="25"/>
      <c r="CU174" s="25"/>
      <c r="CV174" s="25"/>
      <c r="CW174" s="25"/>
      <c r="CX174" s="25"/>
      <c r="CY174" s="25"/>
      <c r="CZ174" s="25"/>
      <c r="DA174" s="25"/>
      <c r="DB174" s="25"/>
      <c r="DC174" s="25"/>
      <c r="DD174" s="25"/>
      <c r="DE174" s="25"/>
      <c r="DF174" s="25"/>
      <c r="DG174" s="25"/>
      <c r="DH174" s="25"/>
      <c r="DI174" s="25"/>
      <c r="DJ174" s="25"/>
      <c r="DK174" s="25"/>
      <c r="DL174" s="25"/>
      <c r="DM174" s="25"/>
      <c r="DN174" s="25"/>
      <c r="DO174" s="25"/>
      <c r="DP174" s="25"/>
      <c r="DQ174" s="25"/>
      <c r="DR174" s="25"/>
      <c r="DS174" s="25"/>
      <c r="DT174" s="25"/>
      <c r="DU174" s="25"/>
      <c r="DV174" s="25"/>
      <c r="DW174" s="25"/>
      <c r="DX174" s="25"/>
      <c r="DY174" s="25"/>
      <c r="DZ174" s="25"/>
      <c r="EA174" s="25"/>
      <c r="EB174" s="25"/>
      <c r="EC174" s="25"/>
      <c r="ED174" s="25"/>
      <c r="EE174" s="25"/>
      <c r="EF174" s="25"/>
      <c r="EG174" s="25"/>
      <c r="EH174" s="25"/>
      <c r="EI174" s="25"/>
      <c r="EJ174" s="25"/>
      <c r="EK174" s="25"/>
      <c r="EL174" s="25"/>
      <c r="EM174" s="25"/>
      <c r="EN174" s="25"/>
      <c r="EO174" s="25"/>
      <c r="EP174" s="25"/>
      <c r="EQ174" s="25"/>
      <c r="ER174" s="25"/>
      <c r="ES174" s="25"/>
      <c r="ET174" s="25"/>
      <c r="EU174" s="25"/>
      <c r="EV174" s="25"/>
      <c r="EW174" s="25"/>
      <c r="EX174" s="25"/>
      <c r="EY174" s="25"/>
      <c r="EZ174" s="25"/>
      <c r="FA174" s="25"/>
      <c r="FB174" s="25"/>
      <c r="FC174" s="25"/>
      <c r="FD174" s="25"/>
      <c r="FE174" s="25"/>
      <c r="FF174" s="25"/>
      <c r="FG174" s="25"/>
      <c r="FH174" s="25"/>
      <c r="FI174" s="25"/>
      <c r="FJ174" s="25"/>
      <c r="FK174" s="25"/>
      <c r="FL174" s="25"/>
      <c r="FM174" s="25"/>
      <c r="FN174" s="25"/>
      <c r="FO174" s="25"/>
      <c r="FP174" s="25"/>
      <c r="FQ174" s="25"/>
      <c r="FR174" s="25"/>
      <c r="FS174" s="25"/>
      <c r="FT174" s="25"/>
      <c r="FU174" s="25"/>
      <c r="FV174" s="25"/>
      <c r="FW174" s="25"/>
      <c r="FX174" s="25"/>
      <c r="FY174" s="25"/>
      <c r="FZ174" s="25"/>
      <c r="GA174" s="25"/>
      <c r="GB174" s="25"/>
      <c r="GC174" s="25"/>
      <c r="GD174" s="25"/>
      <c r="GE174" s="25"/>
      <c r="GF174" s="25"/>
      <c r="GG174" s="25"/>
      <c r="GH174" s="25"/>
      <c r="GI174" s="25"/>
      <c r="GJ174" s="25"/>
      <c r="GK174" s="25"/>
      <c r="GL174" s="25"/>
      <c r="GM174" s="25"/>
      <c r="GN174" s="25"/>
      <c r="GO174" s="25"/>
      <c r="GP174" s="25"/>
      <c r="GQ174" s="25"/>
      <c r="GR174" s="25"/>
      <c r="GS174" s="25"/>
      <c r="GT174" s="25"/>
      <c r="GU174" s="25"/>
      <c r="GV174" s="25"/>
      <c r="GW174" s="25"/>
      <c r="GX174" s="25"/>
      <c r="GY174" s="25"/>
      <c r="GZ174" s="25"/>
      <c r="HA174" s="25"/>
      <c r="HB174" s="25"/>
      <c r="HC174" s="25"/>
      <c r="HD174" s="25"/>
      <c r="HE174" s="25"/>
      <c r="HF174" s="25"/>
      <c r="HG174" s="25"/>
      <c r="HH174" s="25"/>
      <c r="HI174" s="25"/>
      <c r="HJ174" s="25"/>
      <c r="HK174" s="25"/>
      <c r="HL174" s="25"/>
      <c r="HM174" s="25"/>
      <c r="HN174" s="25"/>
      <c r="HO174" s="25"/>
      <c r="HP174" s="25"/>
      <c r="HQ174" s="25"/>
      <c r="HR174" s="25"/>
      <c r="HS174" s="25"/>
      <c r="HT174" s="25"/>
      <c r="HU174" s="25"/>
      <c r="HV174" s="25"/>
      <c r="HW174" s="25"/>
      <c r="HX174" s="25"/>
      <c r="HY174" s="25"/>
      <c r="HZ174" s="25"/>
      <c r="IA174" s="25"/>
      <c r="IB174" s="25"/>
      <c r="IC174" s="25"/>
      <c r="ID174" s="25"/>
      <c r="IE174" s="25"/>
      <c r="IF174" s="25"/>
      <c r="IG174" s="25"/>
      <c r="IH174" s="25"/>
      <c r="II174" s="25"/>
      <c r="IJ174" s="25"/>
      <c r="IK174" s="25"/>
      <c r="IL174" s="25"/>
      <c r="IM174" s="25"/>
      <c r="IN174" s="25"/>
      <c r="IO174" s="25"/>
      <c r="IP174" s="25"/>
      <c r="IQ174" s="25"/>
      <c r="IR174" s="25"/>
      <c r="IS174" s="25"/>
      <c r="IT174" s="25"/>
      <c r="IU174" s="25"/>
      <c r="IV174" s="25"/>
      <c r="IW174" s="25"/>
      <c r="IX174" s="25"/>
      <c r="IY174" s="25"/>
      <c r="IZ174" s="25"/>
      <c r="JA174" s="25"/>
      <c r="JB174" s="25"/>
      <c r="JC174" s="25"/>
      <c r="JD174" s="25"/>
      <c r="JE174" s="25"/>
      <c r="JF174" s="25"/>
      <c r="JG174" s="25"/>
      <c r="JH174" s="25"/>
      <c r="JI174" s="25"/>
      <c r="JJ174" s="25"/>
      <c r="JK174" s="25"/>
      <c r="JL174" s="25"/>
      <c r="JM174" s="25"/>
      <c r="JN174" s="25"/>
      <c r="JO174" s="25"/>
      <c r="JP174" s="25"/>
      <c r="JQ174" s="25"/>
      <c r="JR174" s="25"/>
      <c r="JS174" s="25"/>
      <c r="JT174" s="25"/>
      <c r="JU174" s="25"/>
      <c r="JV174" s="25"/>
      <c r="JW174" s="25"/>
      <c r="JX174" s="25"/>
      <c r="JY174" s="25"/>
      <c r="JZ174" s="25"/>
      <c r="KA174" s="25"/>
      <c r="KB174" s="25"/>
      <c r="KC174" s="25"/>
      <c r="KD174" s="25"/>
      <c r="KE174" s="25"/>
      <c r="KF174" s="25"/>
      <c r="KG174" s="25"/>
      <c r="KH174" s="25"/>
      <c r="KI174" s="25"/>
      <c r="KJ174" s="25"/>
      <c r="KK174" s="25"/>
      <c r="KL174" s="25"/>
      <c r="KM174" s="25"/>
      <c r="KN174" s="25"/>
      <c r="KO174" s="25"/>
      <c r="KP174" s="25"/>
      <c r="KQ174" s="25"/>
      <c r="KR174" s="25"/>
      <c r="KS174" s="25"/>
      <c r="KT174" s="25"/>
      <c r="KU174" s="25"/>
      <c r="KV174" s="25"/>
      <c r="KW174" s="25"/>
      <c r="KX174" s="25"/>
      <c r="KY174" s="25"/>
      <c r="KZ174" s="25"/>
      <c r="LA174" s="25"/>
      <c r="LB174" s="25"/>
      <c r="LC174" s="25"/>
      <c r="LD174" s="25"/>
      <c r="LE174" s="25"/>
      <c r="LF174" s="25"/>
      <c r="LG174" s="25"/>
      <c r="LH174" s="25"/>
      <c r="LI174" s="25"/>
      <c r="LJ174" s="25"/>
      <c r="LK174" s="25"/>
      <c r="LL174" s="25"/>
      <c r="LM174" s="25"/>
      <c r="LN174" s="25"/>
      <c r="LO174" s="25"/>
      <c r="LP174" s="25"/>
      <c r="LQ174" s="25"/>
      <c r="LR174" s="25"/>
      <c r="LS174" s="25"/>
      <c r="LT174" s="25"/>
      <c r="LU174" s="25"/>
      <c r="LV174" s="25"/>
      <c r="LW174" s="25"/>
      <c r="LX174" s="25"/>
      <c r="LY174" s="25"/>
      <c r="LZ174" s="25"/>
      <c r="MA174" s="25"/>
      <c r="MB174" s="25"/>
      <c r="MC174" s="25"/>
      <c r="MD174" s="25"/>
      <c r="ME174" s="25"/>
      <c r="MF174" s="25"/>
      <c r="MG174" s="25"/>
      <c r="MH174" s="25"/>
      <c r="MI174" s="25"/>
      <c r="MJ174" s="25"/>
      <c r="MK174" s="25"/>
      <c r="ML174" s="25"/>
      <c r="MM174" s="25"/>
      <c r="MN174" s="25"/>
      <c r="MO174" s="25"/>
      <c r="MP174" s="25"/>
      <c r="MQ174" s="25"/>
      <c r="MR174" s="25"/>
      <c r="MS174" s="25"/>
      <c r="MT174" s="25"/>
      <c r="MU174" s="25"/>
      <c r="MV174" s="25"/>
      <c r="MW174" s="25"/>
      <c r="MX174" s="25"/>
      <c r="MY174" s="25"/>
      <c r="MZ174" s="25"/>
      <c r="NA174" s="25"/>
      <c r="NB174" s="25"/>
      <c r="NC174" s="25"/>
      <c r="ND174" s="25"/>
      <c r="NE174" s="33"/>
      <c r="OG174" s="18">
        <v>1</v>
      </c>
      <c r="OH174" s="18">
        <v>43196</v>
      </c>
      <c r="OI174" s="18">
        <v>43248</v>
      </c>
      <c r="PJ174" s="20" t="s">
        <v>11</v>
      </c>
      <c r="PK174" s="20">
        <v>106</v>
      </c>
    </row>
    <row r="175" spans="1:427" ht="0.75" customHeight="1" x14ac:dyDescent="0.2">
      <c r="A175" s="28"/>
      <c r="B175" s="22"/>
      <c r="C175" s="22"/>
      <c r="D175" s="44"/>
      <c r="E175" s="23"/>
      <c r="F175" s="24" t="s">
        <v>10</v>
      </c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  <c r="BL175" s="25"/>
      <c r="BM175" s="25"/>
      <c r="BN175" s="25"/>
      <c r="BO175" s="25"/>
      <c r="BP175" s="25"/>
      <c r="BQ175" s="25"/>
      <c r="BR175" s="25"/>
      <c r="BS175" s="25"/>
      <c r="BT175" s="25"/>
      <c r="BU175" s="25"/>
      <c r="BV175" s="25"/>
      <c r="BW175" s="25"/>
      <c r="BX175" s="25"/>
      <c r="BY175" s="25"/>
      <c r="BZ175" s="25"/>
      <c r="CA175" s="25"/>
      <c r="CB175" s="25"/>
      <c r="CC175" s="25"/>
      <c r="CD175" s="25"/>
      <c r="CE175" s="25"/>
      <c r="CF175" s="25"/>
      <c r="CG175" s="25"/>
      <c r="CH175" s="25"/>
      <c r="CI175" s="25"/>
      <c r="CJ175" s="25"/>
      <c r="CK175" s="25"/>
      <c r="CL175" s="25"/>
      <c r="CM175" s="25"/>
      <c r="CN175" s="25"/>
      <c r="CO175" s="25"/>
      <c r="CP175" s="25"/>
      <c r="CQ175" s="25"/>
      <c r="CR175" s="25"/>
      <c r="CS175" s="25"/>
      <c r="CT175" s="25"/>
      <c r="CU175" s="25"/>
      <c r="CV175" s="25"/>
      <c r="CW175" s="25"/>
      <c r="CX175" s="25"/>
      <c r="CY175" s="25"/>
      <c r="CZ175" s="25"/>
      <c r="DA175" s="25"/>
      <c r="DB175" s="25"/>
      <c r="DC175" s="25"/>
      <c r="DD175" s="25"/>
      <c r="DE175" s="25"/>
      <c r="DF175" s="25"/>
      <c r="DG175" s="25"/>
      <c r="DH175" s="25"/>
      <c r="DI175" s="25"/>
      <c r="DJ175" s="25"/>
      <c r="DK175" s="25"/>
      <c r="DL175" s="25"/>
      <c r="DM175" s="25"/>
      <c r="DN175" s="25"/>
      <c r="DO175" s="25"/>
      <c r="DP175" s="25"/>
      <c r="DQ175" s="25"/>
      <c r="DR175" s="25"/>
      <c r="DS175" s="25"/>
      <c r="DT175" s="25"/>
      <c r="DU175" s="25"/>
      <c r="DV175" s="25"/>
      <c r="DW175" s="25"/>
      <c r="DX175" s="25"/>
      <c r="DY175" s="25"/>
      <c r="DZ175" s="25"/>
      <c r="EA175" s="25"/>
      <c r="EB175" s="25"/>
      <c r="EC175" s="25"/>
      <c r="ED175" s="25"/>
      <c r="EE175" s="25"/>
      <c r="EF175" s="25"/>
      <c r="EG175" s="25"/>
      <c r="EH175" s="25"/>
      <c r="EI175" s="25"/>
      <c r="EJ175" s="25"/>
      <c r="EK175" s="25"/>
      <c r="EL175" s="25"/>
      <c r="EM175" s="25"/>
      <c r="EN175" s="25"/>
      <c r="EO175" s="25"/>
      <c r="EP175" s="25"/>
      <c r="EQ175" s="25"/>
      <c r="ER175" s="25"/>
      <c r="ES175" s="25"/>
      <c r="ET175" s="25"/>
      <c r="EU175" s="25"/>
      <c r="EV175" s="25"/>
      <c r="EW175" s="25"/>
      <c r="EX175" s="25"/>
      <c r="EY175" s="25"/>
      <c r="EZ175" s="25"/>
      <c r="FA175" s="25"/>
      <c r="FB175" s="25"/>
      <c r="FC175" s="25"/>
      <c r="FD175" s="25"/>
      <c r="FE175" s="25"/>
      <c r="FF175" s="25"/>
      <c r="FG175" s="25"/>
      <c r="FH175" s="25"/>
      <c r="FI175" s="25"/>
      <c r="FJ175" s="25"/>
      <c r="FK175" s="25"/>
      <c r="FL175" s="25"/>
      <c r="FM175" s="25"/>
      <c r="FN175" s="25"/>
      <c r="FO175" s="25"/>
      <c r="FP175" s="25"/>
      <c r="FQ175" s="25"/>
      <c r="FR175" s="25"/>
      <c r="FS175" s="25"/>
      <c r="FT175" s="25"/>
      <c r="FU175" s="25"/>
      <c r="FV175" s="25"/>
      <c r="FW175" s="25"/>
      <c r="FX175" s="25"/>
      <c r="FY175" s="25"/>
      <c r="FZ175" s="25"/>
      <c r="GA175" s="25"/>
      <c r="GB175" s="25"/>
      <c r="GC175" s="25"/>
      <c r="GD175" s="25"/>
      <c r="GE175" s="25"/>
      <c r="GF175" s="25"/>
      <c r="GG175" s="25"/>
      <c r="GH175" s="25"/>
      <c r="GI175" s="25"/>
      <c r="GJ175" s="25"/>
      <c r="GK175" s="25"/>
      <c r="GL175" s="25"/>
      <c r="GM175" s="25"/>
      <c r="GN175" s="25"/>
      <c r="GO175" s="25"/>
      <c r="GP175" s="25"/>
      <c r="GQ175" s="25"/>
      <c r="GR175" s="25"/>
      <c r="GS175" s="25"/>
      <c r="GT175" s="25"/>
      <c r="GU175" s="25"/>
      <c r="GV175" s="25"/>
      <c r="GW175" s="25"/>
      <c r="GX175" s="25"/>
      <c r="GY175" s="25"/>
      <c r="GZ175" s="25"/>
      <c r="HA175" s="25"/>
      <c r="HB175" s="25"/>
      <c r="HC175" s="25"/>
      <c r="HD175" s="25"/>
      <c r="HE175" s="25"/>
      <c r="HF175" s="25"/>
      <c r="HG175" s="25"/>
      <c r="HH175" s="25"/>
      <c r="HI175" s="25"/>
      <c r="HJ175" s="25"/>
      <c r="HK175" s="25"/>
      <c r="HL175" s="25"/>
      <c r="HM175" s="25"/>
      <c r="HN175" s="25"/>
      <c r="HO175" s="25"/>
      <c r="HP175" s="25"/>
      <c r="HQ175" s="25"/>
      <c r="HR175" s="25"/>
      <c r="HS175" s="25"/>
      <c r="HT175" s="25"/>
      <c r="HU175" s="25"/>
      <c r="HV175" s="25"/>
      <c r="HW175" s="25"/>
      <c r="HX175" s="25"/>
      <c r="HY175" s="25"/>
      <c r="HZ175" s="25"/>
      <c r="IA175" s="25"/>
      <c r="IB175" s="25"/>
      <c r="IC175" s="25"/>
      <c r="ID175" s="25"/>
      <c r="IE175" s="25"/>
      <c r="IF175" s="25"/>
      <c r="IG175" s="25"/>
      <c r="IH175" s="25"/>
      <c r="II175" s="25"/>
      <c r="IJ175" s="25"/>
      <c r="IK175" s="25"/>
      <c r="IL175" s="25"/>
      <c r="IM175" s="25"/>
      <c r="IN175" s="25"/>
      <c r="IO175" s="25"/>
      <c r="IP175" s="25"/>
      <c r="IQ175" s="25"/>
      <c r="IR175" s="25"/>
      <c r="IS175" s="25"/>
      <c r="IT175" s="25"/>
      <c r="IU175" s="25"/>
      <c r="IV175" s="25"/>
      <c r="IW175" s="25"/>
      <c r="IX175" s="25"/>
      <c r="IY175" s="25"/>
      <c r="IZ175" s="25"/>
      <c r="JA175" s="25"/>
      <c r="JB175" s="25"/>
      <c r="JC175" s="25"/>
      <c r="JD175" s="25"/>
      <c r="JE175" s="25"/>
      <c r="JF175" s="25"/>
      <c r="JG175" s="25"/>
      <c r="JH175" s="25"/>
      <c r="JI175" s="25"/>
      <c r="JJ175" s="25"/>
      <c r="JK175" s="25"/>
      <c r="JL175" s="25"/>
      <c r="JM175" s="25"/>
      <c r="JN175" s="25"/>
      <c r="JO175" s="25"/>
      <c r="JP175" s="25"/>
      <c r="JQ175" s="25"/>
      <c r="JR175" s="25"/>
      <c r="JS175" s="25"/>
      <c r="JT175" s="25"/>
      <c r="JU175" s="25"/>
      <c r="JV175" s="25"/>
      <c r="JW175" s="25"/>
      <c r="JX175" s="25"/>
      <c r="JY175" s="25"/>
      <c r="JZ175" s="25"/>
      <c r="KA175" s="25"/>
      <c r="KB175" s="25"/>
      <c r="KC175" s="25"/>
      <c r="KD175" s="25"/>
      <c r="KE175" s="25"/>
      <c r="KF175" s="25"/>
      <c r="KG175" s="25"/>
      <c r="KH175" s="25"/>
      <c r="KI175" s="25"/>
      <c r="KJ175" s="25"/>
      <c r="KK175" s="25"/>
      <c r="KL175" s="25"/>
      <c r="KM175" s="25"/>
      <c r="KN175" s="25"/>
      <c r="KO175" s="25"/>
      <c r="KP175" s="25"/>
      <c r="KQ175" s="25"/>
      <c r="KR175" s="25"/>
      <c r="KS175" s="25"/>
      <c r="KT175" s="25"/>
      <c r="KU175" s="25"/>
      <c r="KV175" s="25"/>
      <c r="KW175" s="25"/>
      <c r="KX175" s="25"/>
      <c r="KY175" s="25"/>
      <c r="KZ175" s="25"/>
      <c r="LA175" s="25"/>
      <c r="LB175" s="25"/>
      <c r="LC175" s="25"/>
      <c r="LD175" s="25"/>
      <c r="LE175" s="25"/>
      <c r="LF175" s="25"/>
      <c r="LG175" s="25"/>
      <c r="LH175" s="25"/>
      <c r="LI175" s="25"/>
      <c r="LJ175" s="25"/>
      <c r="LK175" s="25"/>
      <c r="LL175" s="25"/>
      <c r="LM175" s="25"/>
      <c r="LN175" s="25"/>
      <c r="LO175" s="25"/>
      <c r="LP175" s="25"/>
      <c r="LQ175" s="25"/>
      <c r="LR175" s="25"/>
      <c r="LS175" s="25"/>
      <c r="LT175" s="25"/>
      <c r="LU175" s="25"/>
      <c r="LV175" s="25"/>
      <c r="LW175" s="25"/>
      <c r="LX175" s="25"/>
      <c r="LY175" s="25"/>
      <c r="LZ175" s="25"/>
      <c r="MA175" s="25"/>
      <c r="MB175" s="25"/>
      <c r="MC175" s="25"/>
      <c r="MD175" s="25"/>
      <c r="ME175" s="25"/>
      <c r="MF175" s="25"/>
      <c r="MG175" s="25"/>
      <c r="MH175" s="25"/>
      <c r="MI175" s="25"/>
      <c r="MJ175" s="25"/>
      <c r="MK175" s="25"/>
      <c r="ML175" s="25"/>
      <c r="MM175" s="25"/>
      <c r="MN175" s="25"/>
      <c r="MO175" s="25"/>
      <c r="MP175" s="25"/>
      <c r="MQ175" s="25"/>
      <c r="MR175" s="25"/>
      <c r="MS175" s="25"/>
      <c r="MT175" s="25"/>
      <c r="MU175" s="25"/>
      <c r="MV175" s="25"/>
      <c r="MW175" s="25"/>
      <c r="MX175" s="25"/>
      <c r="MY175" s="25"/>
      <c r="MZ175" s="25"/>
      <c r="NA175" s="25"/>
      <c r="NB175" s="25"/>
      <c r="NC175" s="25"/>
      <c r="ND175" s="25"/>
      <c r="NE175" s="33"/>
    </row>
    <row r="176" spans="1:427" ht="13.5" customHeight="1" x14ac:dyDescent="0.2">
      <c r="A176" s="28"/>
      <c r="B176" s="22"/>
      <c r="C176" s="26"/>
      <c r="D176" s="44"/>
      <c r="E176" s="23"/>
      <c r="F176" s="24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  <c r="BL176" s="25"/>
      <c r="BM176" s="25"/>
      <c r="BN176" s="25"/>
      <c r="BO176" s="25"/>
      <c r="BP176" s="25"/>
      <c r="BQ176" s="25"/>
      <c r="BR176" s="25"/>
      <c r="BS176" s="25"/>
      <c r="BT176" s="25"/>
      <c r="BU176" s="25"/>
      <c r="BV176" s="25"/>
      <c r="BW176" s="25"/>
      <c r="BX176" s="25"/>
      <c r="BY176" s="25"/>
      <c r="BZ176" s="25"/>
      <c r="CA176" s="25"/>
      <c r="CB176" s="25"/>
      <c r="CC176" s="25"/>
      <c r="CD176" s="25"/>
      <c r="CE176" s="25"/>
      <c r="CF176" s="25"/>
      <c r="CG176" s="25"/>
      <c r="CH176" s="25"/>
      <c r="CI176" s="25"/>
      <c r="CJ176" s="25"/>
      <c r="CK176" s="25"/>
      <c r="CL176" s="25"/>
      <c r="CM176" s="25"/>
      <c r="CN176" s="25"/>
      <c r="CO176" s="25"/>
      <c r="CP176" s="25"/>
      <c r="CQ176" s="25"/>
      <c r="CR176" s="25"/>
      <c r="CS176" s="25"/>
      <c r="CT176" s="25"/>
      <c r="CU176" s="25"/>
      <c r="CV176" s="25"/>
      <c r="CW176" s="25"/>
      <c r="CX176" s="25"/>
      <c r="CY176" s="25"/>
      <c r="CZ176" s="25"/>
      <c r="DA176" s="25"/>
      <c r="DB176" s="25"/>
      <c r="DC176" s="25"/>
      <c r="DD176" s="25"/>
      <c r="DE176" s="25"/>
      <c r="DF176" s="25"/>
      <c r="DG176" s="25"/>
      <c r="DH176" s="25"/>
      <c r="DI176" s="25"/>
      <c r="DJ176" s="25"/>
      <c r="DK176" s="25"/>
      <c r="DL176" s="25"/>
      <c r="DM176" s="25"/>
      <c r="DN176" s="25"/>
      <c r="DO176" s="25"/>
      <c r="DP176" s="25"/>
      <c r="DQ176" s="25"/>
      <c r="DR176" s="25"/>
      <c r="DS176" s="25"/>
      <c r="DT176" s="25"/>
      <c r="DU176" s="25"/>
      <c r="DV176" s="25"/>
      <c r="DW176" s="25"/>
      <c r="DX176" s="25"/>
      <c r="DY176" s="25"/>
      <c r="DZ176" s="25"/>
      <c r="EA176" s="25"/>
      <c r="EB176" s="25"/>
      <c r="EC176" s="25"/>
      <c r="ED176" s="25"/>
      <c r="EE176" s="25"/>
      <c r="EF176" s="25"/>
      <c r="EG176" s="25"/>
      <c r="EH176" s="25"/>
      <c r="EI176" s="25"/>
      <c r="EJ176" s="25"/>
      <c r="EK176" s="25"/>
      <c r="EL176" s="25"/>
      <c r="EM176" s="25"/>
      <c r="EN176" s="25"/>
      <c r="EO176" s="25"/>
      <c r="EP176" s="25"/>
      <c r="EQ176" s="25"/>
      <c r="ER176" s="25"/>
      <c r="ES176" s="25"/>
      <c r="ET176" s="25"/>
      <c r="EU176" s="25"/>
      <c r="EV176" s="25"/>
      <c r="EW176" s="25"/>
      <c r="EX176" s="25"/>
      <c r="EY176" s="25"/>
      <c r="EZ176" s="25"/>
      <c r="FA176" s="25"/>
      <c r="FB176" s="25"/>
      <c r="FC176" s="25"/>
      <c r="FD176" s="25"/>
      <c r="FE176" s="25"/>
      <c r="FF176" s="25"/>
      <c r="FG176" s="25"/>
      <c r="FH176" s="25"/>
      <c r="FI176" s="25"/>
      <c r="FJ176" s="25"/>
      <c r="FK176" s="25"/>
      <c r="FL176" s="25"/>
      <c r="FM176" s="25"/>
      <c r="FN176" s="25"/>
      <c r="FO176" s="25"/>
      <c r="FP176" s="25"/>
      <c r="FQ176" s="25"/>
      <c r="FR176" s="25"/>
      <c r="FS176" s="25"/>
      <c r="FT176" s="25"/>
      <c r="FU176" s="25"/>
      <c r="FV176" s="25"/>
      <c r="FW176" s="25"/>
      <c r="FX176" s="25"/>
      <c r="FY176" s="25"/>
      <c r="FZ176" s="25"/>
      <c r="GA176" s="25"/>
      <c r="GB176" s="25"/>
      <c r="GC176" s="25"/>
      <c r="GD176" s="25"/>
      <c r="GE176" s="25"/>
      <c r="GF176" s="25"/>
      <c r="GG176" s="25"/>
      <c r="GH176" s="25"/>
      <c r="GI176" s="25"/>
      <c r="GJ176" s="25"/>
      <c r="GK176" s="25"/>
      <c r="GL176" s="25"/>
      <c r="GM176" s="25"/>
      <c r="GN176" s="25"/>
      <c r="GO176" s="25"/>
      <c r="GP176" s="25"/>
      <c r="GQ176" s="25"/>
      <c r="GR176" s="25"/>
      <c r="GS176" s="25"/>
      <c r="GT176" s="25"/>
      <c r="GU176" s="25"/>
      <c r="GV176" s="25"/>
      <c r="GW176" s="25"/>
      <c r="GX176" s="25"/>
      <c r="GY176" s="25"/>
      <c r="GZ176" s="25"/>
      <c r="HA176" s="25"/>
      <c r="HB176" s="25"/>
      <c r="HC176" s="25"/>
      <c r="HD176" s="25"/>
      <c r="HE176" s="25"/>
      <c r="HF176" s="25"/>
      <c r="HG176" s="25"/>
      <c r="HH176" s="25"/>
      <c r="HI176" s="25"/>
      <c r="HJ176" s="25"/>
      <c r="HK176" s="25"/>
      <c r="HL176" s="25"/>
      <c r="HM176" s="25"/>
      <c r="HN176" s="25"/>
      <c r="HO176" s="25"/>
      <c r="HP176" s="25"/>
      <c r="HQ176" s="25"/>
      <c r="HR176" s="25"/>
      <c r="HS176" s="25"/>
      <c r="HT176" s="25"/>
      <c r="HU176" s="25"/>
      <c r="HV176" s="25"/>
      <c r="HW176" s="25"/>
      <c r="HX176" s="25"/>
      <c r="HY176" s="25"/>
      <c r="HZ176" s="25"/>
      <c r="IA176" s="25"/>
      <c r="IB176" s="25"/>
      <c r="IC176" s="25"/>
      <c r="ID176" s="25"/>
      <c r="IE176" s="25"/>
      <c r="IF176" s="25"/>
      <c r="IG176" s="25"/>
      <c r="IH176" s="25"/>
      <c r="II176" s="25"/>
      <c r="IJ176" s="25"/>
      <c r="IK176" s="25"/>
      <c r="IL176" s="25"/>
      <c r="IM176" s="25"/>
      <c r="IN176" s="25"/>
      <c r="IO176" s="25"/>
      <c r="IP176" s="25"/>
      <c r="IQ176" s="25"/>
      <c r="IR176" s="25"/>
      <c r="IS176" s="25"/>
      <c r="IT176" s="25"/>
      <c r="IU176" s="25"/>
      <c r="IV176" s="25"/>
      <c r="IW176" s="25"/>
      <c r="IX176" s="25"/>
      <c r="IY176" s="25"/>
      <c r="IZ176" s="25"/>
      <c r="JA176" s="25"/>
      <c r="JB176" s="25"/>
      <c r="JC176" s="25"/>
      <c r="JD176" s="25"/>
      <c r="JE176" s="25"/>
      <c r="JF176" s="25"/>
      <c r="JG176" s="25"/>
      <c r="JH176" s="25"/>
      <c r="JI176" s="25"/>
      <c r="JJ176" s="25"/>
      <c r="JK176" s="25"/>
      <c r="JL176" s="25"/>
      <c r="JM176" s="25"/>
      <c r="JN176" s="25"/>
      <c r="JO176" s="25"/>
      <c r="JP176" s="25"/>
      <c r="JQ176" s="25"/>
      <c r="JR176" s="25"/>
      <c r="JS176" s="25"/>
      <c r="JT176" s="25"/>
      <c r="JU176" s="25"/>
      <c r="JV176" s="25"/>
      <c r="JW176" s="25"/>
      <c r="JX176" s="25"/>
      <c r="JY176" s="25"/>
      <c r="JZ176" s="25"/>
      <c r="KA176" s="25"/>
      <c r="KB176" s="25"/>
      <c r="KC176" s="25"/>
      <c r="KD176" s="25"/>
      <c r="KE176" s="25"/>
      <c r="KF176" s="25"/>
      <c r="KG176" s="25"/>
      <c r="KH176" s="25"/>
      <c r="KI176" s="25"/>
      <c r="KJ176" s="25"/>
      <c r="KK176" s="25"/>
      <c r="KL176" s="25"/>
      <c r="KM176" s="25"/>
      <c r="KN176" s="25"/>
      <c r="KO176" s="25"/>
      <c r="KP176" s="25"/>
      <c r="KQ176" s="25"/>
      <c r="KR176" s="25"/>
      <c r="KS176" s="25"/>
      <c r="KT176" s="25"/>
      <c r="KU176" s="25"/>
      <c r="KV176" s="25"/>
      <c r="KW176" s="25"/>
      <c r="KX176" s="25"/>
      <c r="KY176" s="25"/>
      <c r="KZ176" s="25"/>
      <c r="LA176" s="25"/>
      <c r="LB176" s="25"/>
      <c r="LC176" s="25"/>
      <c r="LD176" s="25"/>
      <c r="LE176" s="25"/>
      <c r="LF176" s="25"/>
      <c r="LG176" s="25"/>
      <c r="LH176" s="25"/>
      <c r="LI176" s="25"/>
      <c r="LJ176" s="25"/>
      <c r="LK176" s="25"/>
      <c r="LL176" s="25"/>
      <c r="LM176" s="25"/>
      <c r="LN176" s="25"/>
      <c r="LO176" s="25"/>
      <c r="LP176" s="25"/>
      <c r="LQ176" s="25"/>
      <c r="LR176" s="25"/>
      <c r="LS176" s="25"/>
      <c r="LT176" s="25"/>
      <c r="LU176" s="25"/>
      <c r="LV176" s="25"/>
      <c r="LW176" s="25"/>
      <c r="LX176" s="25"/>
      <c r="LY176" s="25"/>
      <c r="LZ176" s="25"/>
      <c r="MA176" s="25"/>
      <c r="MB176" s="25"/>
      <c r="MC176" s="25"/>
      <c r="MD176" s="25"/>
      <c r="ME176" s="25"/>
      <c r="MF176" s="25"/>
      <c r="MG176" s="25"/>
      <c r="MH176" s="25"/>
      <c r="MI176" s="25"/>
      <c r="MJ176" s="25"/>
      <c r="MK176" s="25"/>
      <c r="ML176" s="25"/>
      <c r="MM176" s="25"/>
      <c r="MN176" s="25"/>
      <c r="MO176" s="25"/>
      <c r="MP176" s="25"/>
      <c r="MQ176" s="25"/>
      <c r="MR176" s="25"/>
      <c r="MS176" s="25"/>
      <c r="MT176" s="25"/>
      <c r="MU176" s="25"/>
      <c r="MV176" s="25"/>
      <c r="MW176" s="25"/>
      <c r="MX176" s="25"/>
      <c r="MY176" s="25"/>
      <c r="MZ176" s="25"/>
      <c r="NA176" s="25"/>
      <c r="NB176" s="25"/>
      <c r="NC176" s="25"/>
      <c r="ND176" s="25"/>
      <c r="NE176" s="33"/>
      <c r="OG176" s="18">
        <v>1</v>
      </c>
      <c r="OH176" s="18">
        <v>43336</v>
      </c>
      <c r="OI176" s="18">
        <v>43388</v>
      </c>
      <c r="PJ176" s="20" t="s">
        <v>11</v>
      </c>
      <c r="PK176" s="20">
        <v>106</v>
      </c>
    </row>
    <row r="177" spans="1:427" ht="13.5" customHeight="1" x14ac:dyDescent="0.2">
      <c r="A177" s="28"/>
      <c r="B177" s="22"/>
      <c r="C177" s="26"/>
      <c r="D177" s="44"/>
      <c r="E177" s="23"/>
      <c r="F177" s="24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5"/>
      <c r="BJ177" s="25"/>
      <c r="BK177" s="25"/>
      <c r="BL177" s="25"/>
      <c r="BM177" s="25"/>
      <c r="BN177" s="25"/>
      <c r="BO177" s="25"/>
      <c r="BP177" s="25"/>
      <c r="BQ177" s="25"/>
      <c r="BR177" s="25"/>
      <c r="BS177" s="25"/>
      <c r="BT177" s="25"/>
      <c r="BU177" s="25"/>
      <c r="BV177" s="25"/>
      <c r="BW177" s="25"/>
      <c r="BX177" s="25"/>
      <c r="BY177" s="25"/>
      <c r="BZ177" s="25"/>
      <c r="CA177" s="25"/>
      <c r="CB177" s="25"/>
      <c r="CC177" s="25"/>
      <c r="CD177" s="25"/>
      <c r="CE177" s="25"/>
      <c r="CF177" s="25"/>
      <c r="CG177" s="25"/>
      <c r="CH177" s="25"/>
      <c r="CI177" s="25"/>
      <c r="CJ177" s="25"/>
      <c r="CK177" s="25"/>
      <c r="CL177" s="25"/>
      <c r="CM177" s="25"/>
      <c r="CN177" s="25"/>
      <c r="CO177" s="25"/>
      <c r="CP177" s="25"/>
      <c r="CQ177" s="25"/>
      <c r="CR177" s="25"/>
      <c r="CS177" s="25"/>
      <c r="CT177" s="25"/>
      <c r="CU177" s="25"/>
      <c r="CV177" s="25"/>
      <c r="CW177" s="25"/>
      <c r="CX177" s="25"/>
      <c r="CY177" s="25"/>
      <c r="CZ177" s="25"/>
      <c r="DA177" s="25"/>
      <c r="DB177" s="25"/>
      <c r="DC177" s="25"/>
      <c r="DD177" s="25"/>
      <c r="DE177" s="25"/>
      <c r="DF177" s="25"/>
      <c r="DG177" s="25"/>
      <c r="DH177" s="25"/>
      <c r="DI177" s="25"/>
      <c r="DJ177" s="25"/>
      <c r="DK177" s="25"/>
      <c r="DL177" s="25"/>
      <c r="DM177" s="25"/>
      <c r="DN177" s="25"/>
      <c r="DO177" s="25"/>
      <c r="DP177" s="25"/>
      <c r="DQ177" s="25"/>
      <c r="DR177" s="25"/>
      <c r="DS177" s="25"/>
      <c r="DT177" s="25"/>
      <c r="DU177" s="25"/>
      <c r="DV177" s="25"/>
      <c r="DW177" s="25"/>
      <c r="DX177" s="25"/>
      <c r="DY177" s="25"/>
      <c r="DZ177" s="25"/>
      <c r="EA177" s="25"/>
      <c r="EB177" s="25"/>
      <c r="EC177" s="25"/>
      <c r="ED177" s="25"/>
      <c r="EE177" s="25"/>
      <c r="EF177" s="25"/>
      <c r="EG177" s="25"/>
      <c r="EH177" s="25"/>
      <c r="EI177" s="25"/>
      <c r="EJ177" s="25"/>
      <c r="EK177" s="25"/>
      <c r="EL177" s="25"/>
      <c r="EM177" s="25"/>
      <c r="EN177" s="25"/>
      <c r="EO177" s="25"/>
      <c r="EP177" s="25"/>
      <c r="EQ177" s="25"/>
      <c r="ER177" s="25"/>
      <c r="ES177" s="25"/>
      <c r="ET177" s="25"/>
      <c r="EU177" s="25"/>
      <c r="EV177" s="25"/>
      <c r="EW177" s="25"/>
      <c r="EX177" s="25"/>
      <c r="EY177" s="25"/>
      <c r="EZ177" s="25"/>
      <c r="FA177" s="25"/>
      <c r="FB177" s="25"/>
      <c r="FC177" s="25"/>
      <c r="FD177" s="25"/>
      <c r="FE177" s="25"/>
      <c r="FF177" s="25"/>
      <c r="FG177" s="25"/>
      <c r="FH177" s="25"/>
      <c r="FI177" s="25"/>
      <c r="FJ177" s="25"/>
      <c r="FK177" s="25"/>
      <c r="FL177" s="25"/>
      <c r="FM177" s="25"/>
      <c r="FN177" s="25"/>
      <c r="FO177" s="25"/>
      <c r="FP177" s="25"/>
      <c r="FQ177" s="25"/>
      <c r="FR177" s="25"/>
      <c r="FS177" s="25"/>
      <c r="FT177" s="25"/>
      <c r="FU177" s="25"/>
      <c r="FV177" s="25"/>
      <c r="FW177" s="25"/>
      <c r="FX177" s="25"/>
      <c r="FY177" s="25"/>
      <c r="FZ177" s="25"/>
      <c r="GA177" s="25"/>
      <c r="GB177" s="25"/>
      <c r="GC177" s="25"/>
      <c r="GD177" s="25"/>
      <c r="GE177" s="25"/>
      <c r="GF177" s="25"/>
      <c r="GG177" s="25"/>
      <c r="GH177" s="25"/>
      <c r="GI177" s="25"/>
      <c r="GJ177" s="25"/>
      <c r="GK177" s="25"/>
      <c r="GL177" s="25"/>
      <c r="GM177" s="25"/>
      <c r="GN177" s="25"/>
      <c r="GO177" s="25"/>
      <c r="GP177" s="25"/>
      <c r="GQ177" s="25"/>
      <c r="GR177" s="25"/>
      <c r="GS177" s="25"/>
      <c r="GT177" s="25"/>
      <c r="GU177" s="25"/>
      <c r="GV177" s="25"/>
      <c r="GW177" s="25"/>
      <c r="GX177" s="25"/>
      <c r="GY177" s="25"/>
      <c r="GZ177" s="25"/>
      <c r="HA177" s="25"/>
      <c r="HB177" s="25"/>
      <c r="HC177" s="25"/>
      <c r="HD177" s="25"/>
      <c r="HE177" s="25"/>
      <c r="HF177" s="25"/>
      <c r="HG177" s="25"/>
      <c r="HH177" s="25"/>
      <c r="HI177" s="25"/>
      <c r="HJ177" s="25"/>
      <c r="HK177" s="25"/>
      <c r="HL177" s="25"/>
      <c r="HM177" s="25"/>
      <c r="HN177" s="25"/>
      <c r="HO177" s="25"/>
      <c r="HP177" s="25"/>
      <c r="HQ177" s="25"/>
      <c r="HR177" s="25"/>
      <c r="HS177" s="25"/>
      <c r="HT177" s="25"/>
      <c r="HU177" s="25"/>
      <c r="HV177" s="25"/>
      <c r="HW177" s="25"/>
      <c r="HX177" s="25"/>
      <c r="HY177" s="25"/>
      <c r="HZ177" s="25"/>
      <c r="IA177" s="25"/>
      <c r="IB177" s="25"/>
      <c r="IC177" s="25"/>
      <c r="ID177" s="25"/>
      <c r="IE177" s="25"/>
      <c r="IF177" s="25"/>
      <c r="IG177" s="25"/>
      <c r="IH177" s="25"/>
      <c r="II177" s="25"/>
      <c r="IJ177" s="25"/>
      <c r="IK177" s="25"/>
      <c r="IL177" s="25"/>
      <c r="IM177" s="25"/>
      <c r="IN177" s="25"/>
      <c r="IO177" s="25"/>
      <c r="IP177" s="25"/>
      <c r="IQ177" s="25"/>
      <c r="IR177" s="25"/>
      <c r="IS177" s="25"/>
      <c r="IT177" s="25"/>
      <c r="IU177" s="25"/>
      <c r="IV177" s="25"/>
      <c r="IW177" s="25"/>
      <c r="IX177" s="25"/>
      <c r="IY177" s="25"/>
      <c r="IZ177" s="25"/>
      <c r="JA177" s="25"/>
      <c r="JB177" s="25"/>
      <c r="JC177" s="25"/>
      <c r="JD177" s="25"/>
      <c r="JE177" s="25"/>
      <c r="JF177" s="25"/>
      <c r="JG177" s="25"/>
      <c r="JH177" s="25"/>
      <c r="JI177" s="25"/>
      <c r="JJ177" s="25"/>
      <c r="JK177" s="25"/>
      <c r="JL177" s="25"/>
      <c r="JM177" s="25"/>
      <c r="JN177" s="25"/>
      <c r="JO177" s="25"/>
      <c r="JP177" s="25"/>
      <c r="JQ177" s="25"/>
      <c r="JR177" s="25"/>
      <c r="JS177" s="25"/>
      <c r="JT177" s="25"/>
      <c r="JU177" s="25"/>
      <c r="JV177" s="25"/>
      <c r="JW177" s="25"/>
      <c r="JX177" s="25"/>
      <c r="JY177" s="25"/>
      <c r="JZ177" s="25"/>
      <c r="KA177" s="25"/>
      <c r="KB177" s="25"/>
      <c r="KC177" s="25"/>
      <c r="KD177" s="25"/>
      <c r="KE177" s="25"/>
      <c r="KF177" s="25"/>
      <c r="KG177" s="25"/>
      <c r="KH177" s="25"/>
      <c r="KI177" s="25"/>
      <c r="KJ177" s="25"/>
      <c r="KK177" s="25"/>
      <c r="KL177" s="25"/>
      <c r="KM177" s="25"/>
      <c r="KN177" s="25"/>
      <c r="KO177" s="25"/>
      <c r="KP177" s="25"/>
      <c r="KQ177" s="25"/>
      <c r="KR177" s="25"/>
      <c r="KS177" s="25"/>
      <c r="KT177" s="25"/>
      <c r="KU177" s="25"/>
      <c r="KV177" s="25"/>
      <c r="KW177" s="25"/>
      <c r="KX177" s="25"/>
      <c r="KY177" s="25"/>
      <c r="KZ177" s="25"/>
      <c r="LA177" s="25"/>
      <c r="LB177" s="25"/>
      <c r="LC177" s="25"/>
      <c r="LD177" s="25"/>
      <c r="LE177" s="25"/>
      <c r="LF177" s="25"/>
      <c r="LG177" s="25"/>
      <c r="LH177" s="25"/>
      <c r="LI177" s="25"/>
      <c r="LJ177" s="25"/>
      <c r="LK177" s="25"/>
      <c r="LL177" s="25"/>
      <c r="LM177" s="25"/>
      <c r="LN177" s="25"/>
      <c r="LO177" s="25"/>
      <c r="LP177" s="25"/>
      <c r="LQ177" s="25"/>
      <c r="LR177" s="25"/>
      <c r="LS177" s="25"/>
      <c r="LT177" s="25"/>
      <c r="LU177" s="25"/>
      <c r="LV177" s="25"/>
      <c r="LW177" s="25"/>
      <c r="LX177" s="25"/>
      <c r="LY177" s="25"/>
      <c r="LZ177" s="25"/>
      <c r="MA177" s="25"/>
      <c r="MB177" s="25"/>
      <c r="MC177" s="25"/>
      <c r="MD177" s="25"/>
      <c r="ME177" s="25"/>
      <c r="MF177" s="25"/>
      <c r="MG177" s="25"/>
      <c r="MH177" s="25"/>
      <c r="MI177" s="25"/>
      <c r="MJ177" s="25"/>
      <c r="MK177" s="25"/>
      <c r="ML177" s="25"/>
      <c r="MM177" s="25"/>
      <c r="MN177" s="25"/>
      <c r="MO177" s="25"/>
      <c r="MP177" s="25"/>
      <c r="MQ177" s="25"/>
      <c r="MR177" s="25"/>
      <c r="MS177" s="25"/>
      <c r="MT177" s="25"/>
      <c r="MU177" s="25"/>
      <c r="MV177" s="25"/>
      <c r="MW177" s="25"/>
      <c r="MX177" s="25"/>
      <c r="MY177" s="25"/>
      <c r="MZ177" s="25"/>
      <c r="NA177" s="25"/>
      <c r="NB177" s="25"/>
      <c r="NC177" s="25"/>
      <c r="ND177" s="25"/>
      <c r="NE177" s="33"/>
      <c r="OG177" s="18">
        <v>1</v>
      </c>
      <c r="OH177" s="18">
        <v>43196</v>
      </c>
      <c r="OI177" s="18">
        <v>43248</v>
      </c>
      <c r="PJ177" s="20" t="s">
        <v>11</v>
      </c>
      <c r="PK177" s="20">
        <v>106</v>
      </c>
    </row>
    <row r="178" spans="1:427" ht="0.75" customHeight="1" x14ac:dyDescent="0.2">
      <c r="A178" s="28"/>
      <c r="B178" s="22"/>
      <c r="C178" s="22"/>
      <c r="D178" s="44"/>
      <c r="E178" s="23"/>
      <c r="F178" s="24" t="s">
        <v>10</v>
      </c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  <c r="BL178" s="25"/>
      <c r="BM178" s="25"/>
      <c r="BN178" s="25"/>
      <c r="BO178" s="25"/>
      <c r="BP178" s="25"/>
      <c r="BQ178" s="25"/>
      <c r="BR178" s="25"/>
      <c r="BS178" s="25"/>
      <c r="BT178" s="25"/>
      <c r="BU178" s="25"/>
      <c r="BV178" s="25"/>
      <c r="BW178" s="25"/>
      <c r="BX178" s="25"/>
      <c r="BY178" s="25"/>
      <c r="BZ178" s="25"/>
      <c r="CA178" s="25"/>
      <c r="CB178" s="25"/>
      <c r="CC178" s="25"/>
      <c r="CD178" s="25"/>
      <c r="CE178" s="25"/>
      <c r="CF178" s="25"/>
      <c r="CG178" s="25"/>
      <c r="CH178" s="25"/>
      <c r="CI178" s="25"/>
      <c r="CJ178" s="25"/>
      <c r="CK178" s="25"/>
      <c r="CL178" s="25"/>
      <c r="CM178" s="25"/>
      <c r="CN178" s="25"/>
      <c r="CO178" s="25"/>
      <c r="CP178" s="25"/>
      <c r="CQ178" s="25"/>
      <c r="CR178" s="25"/>
      <c r="CS178" s="25"/>
      <c r="CT178" s="25"/>
      <c r="CU178" s="25"/>
      <c r="CV178" s="25"/>
      <c r="CW178" s="25"/>
      <c r="CX178" s="25"/>
      <c r="CY178" s="25"/>
      <c r="CZ178" s="25"/>
      <c r="DA178" s="25"/>
      <c r="DB178" s="25"/>
      <c r="DC178" s="25"/>
      <c r="DD178" s="25"/>
      <c r="DE178" s="25"/>
      <c r="DF178" s="25"/>
      <c r="DG178" s="25"/>
      <c r="DH178" s="25"/>
      <c r="DI178" s="25"/>
      <c r="DJ178" s="25"/>
      <c r="DK178" s="25"/>
      <c r="DL178" s="25"/>
      <c r="DM178" s="25"/>
      <c r="DN178" s="25"/>
      <c r="DO178" s="25"/>
      <c r="DP178" s="25"/>
      <c r="DQ178" s="25"/>
      <c r="DR178" s="25"/>
      <c r="DS178" s="25"/>
      <c r="DT178" s="25"/>
      <c r="DU178" s="25"/>
      <c r="DV178" s="25"/>
      <c r="DW178" s="25"/>
      <c r="DX178" s="25"/>
      <c r="DY178" s="25"/>
      <c r="DZ178" s="25"/>
      <c r="EA178" s="25"/>
      <c r="EB178" s="25"/>
      <c r="EC178" s="25"/>
      <c r="ED178" s="25"/>
      <c r="EE178" s="25"/>
      <c r="EF178" s="25"/>
      <c r="EG178" s="25"/>
      <c r="EH178" s="25"/>
      <c r="EI178" s="25"/>
      <c r="EJ178" s="25"/>
      <c r="EK178" s="25"/>
      <c r="EL178" s="25"/>
      <c r="EM178" s="25"/>
      <c r="EN178" s="25"/>
      <c r="EO178" s="25"/>
      <c r="EP178" s="25"/>
      <c r="EQ178" s="25"/>
      <c r="ER178" s="25"/>
      <c r="ES178" s="25"/>
      <c r="ET178" s="25"/>
      <c r="EU178" s="25"/>
      <c r="EV178" s="25"/>
      <c r="EW178" s="25"/>
      <c r="EX178" s="25"/>
      <c r="EY178" s="25"/>
      <c r="EZ178" s="25"/>
      <c r="FA178" s="25"/>
      <c r="FB178" s="25"/>
      <c r="FC178" s="25"/>
      <c r="FD178" s="25"/>
      <c r="FE178" s="25"/>
      <c r="FF178" s="25"/>
      <c r="FG178" s="25"/>
      <c r="FH178" s="25"/>
      <c r="FI178" s="25"/>
      <c r="FJ178" s="25"/>
      <c r="FK178" s="25"/>
      <c r="FL178" s="25"/>
      <c r="FM178" s="25"/>
      <c r="FN178" s="25"/>
      <c r="FO178" s="25"/>
      <c r="FP178" s="25"/>
      <c r="FQ178" s="25"/>
      <c r="FR178" s="25"/>
      <c r="FS178" s="25"/>
      <c r="FT178" s="25"/>
      <c r="FU178" s="25"/>
      <c r="FV178" s="25"/>
      <c r="FW178" s="25"/>
      <c r="FX178" s="25"/>
      <c r="FY178" s="25"/>
      <c r="FZ178" s="25"/>
      <c r="GA178" s="25"/>
      <c r="GB178" s="25"/>
      <c r="GC178" s="25"/>
      <c r="GD178" s="25"/>
      <c r="GE178" s="25"/>
      <c r="GF178" s="25"/>
      <c r="GG178" s="25"/>
      <c r="GH178" s="25"/>
      <c r="GI178" s="25"/>
      <c r="GJ178" s="25"/>
      <c r="GK178" s="25"/>
      <c r="GL178" s="25"/>
      <c r="GM178" s="25"/>
      <c r="GN178" s="25"/>
      <c r="GO178" s="25"/>
      <c r="GP178" s="25"/>
      <c r="GQ178" s="25"/>
      <c r="GR178" s="25"/>
      <c r="GS178" s="25"/>
      <c r="GT178" s="25"/>
      <c r="GU178" s="25"/>
      <c r="GV178" s="25"/>
      <c r="GW178" s="25"/>
      <c r="GX178" s="25"/>
      <c r="GY178" s="25"/>
      <c r="GZ178" s="25"/>
      <c r="HA178" s="25"/>
      <c r="HB178" s="25"/>
      <c r="HC178" s="25"/>
      <c r="HD178" s="25"/>
      <c r="HE178" s="25"/>
      <c r="HF178" s="25"/>
      <c r="HG178" s="25"/>
      <c r="HH178" s="25"/>
      <c r="HI178" s="25"/>
      <c r="HJ178" s="25"/>
      <c r="HK178" s="25"/>
      <c r="HL178" s="25"/>
      <c r="HM178" s="25"/>
      <c r="HN178" s="25"/>
      <c r="HO178" s="25"/>
      <c r="HP178" s="25"/>
      <c r="HQ178" s="25"/>
      <c r="HR178" s="25"/>
      <c r="HS178" s="25"/>
      <c r="HT178" s="25"/>
      <c r="HU178" s="25"/>
      <c r="HV178" s="25"/>
      <c r="HW178" s="25"/>
      <c r="HX178" s="25"/>
      <c r="HY178" s="25"/>
      <c r="HZ178" s="25"/>
      <c r="IA178" s="25"/>
      <c r="IB178" s="25"/>
      <c r="IC178" s="25"/>
      <c r="ID178" s="25"/>
      <c r="IE178" s="25"/>
      <c r="IF178" s="25"/>
      <c r="IG178" s="25"/>
      <c r="IH178" s="25"/>
      <c r="II178" s="25"/>
      <c r="IJ178" s="25"/>
      <c r="IK178" s="25"/>
      <c r="IL178" s="25"/>
      <c r="IM178" s="25"/>
      <c r="IN178" s="25"/>
      <c r="IO178" s="25"/>
      <c r="IP178" s="25"/>
      <c r="IQ178" s="25"/>
      <c r="IR178" s="25"/>
      <c r="IS178" s="25"/>
      <c r="IT178" s="25"/>
      <c r="IU178" s="25"/>
      <c r="IV178" s="25"/>
      <c r="IW178" s="25"/>
      <c r="IX178" s="25"/>
      <c r="IY178" s="25"/>
      <c r="IZ178" s="25"/>
      <c r="JA178" s="25"/>
      <c r="JB178" s="25"/>
      <c r="JC178" s="25"/>
      <c r="JD178" s="25"/>
      <c r="JE178" s="25"/>
      <c r="JF178" s="25"/>
      <c r="JG178" s="25"/>
      <c r="JH178" s="25"/>
      <c r="JI178" s="25"/>
      <c r="JJ178" s="25"/>
      <c r="JK178" s="25"/>
      <c r="JL178" s="25"/>
      <c r="JM178" s="25"/>
      <c r="JN178" s="25"/>
      <c r="JO178" s="25"/>
      <c r="JP178" s="25"/>
      <c r="JQ178" s="25"/>
      <c r="JR178" s="25"/>
      <c r="JS178" s="25"/>
      <c r="JT178" s="25"/>
      <c r="JU178" s="25"/>
      <c r="JV178" s="25"/>
      <c r="JW178" s="25"/>
      <c r="JX178" s="25"/>
      <c r="JY178" s="25"/>
      <c r="JZ178" s="25"/>
      <c r="KA178" s="25"/>
      <c r="KB178" s="25"/>
      <c r="KC178" s="25"/>
      <c r="KD178" s="25"/>
      <c r="KE178" s="25"/>
      <c r="KF178" s="25"/>
      <c r="KG178" s="25"/>
      <c r="KH178" s="25"/>
      <c r="KI178" s="25"/>
      <c r="KJ178" s="25"/>
      <c r="KK178" s="25"/>
      <c r="KL178" s="25"/>
      <c r="KM178" s="25"/>
      <c r="KN178" s="25"/>
      <c r="KO178" s="25"/>
      <c r="KP178" s="25"/>
      <c r="KQ178" s="25"/>
      <c r="KR178" s="25"/>
      <c r="KS178" s="25"/>
      <c r="KT178" s="25"/>
      <c r="KU178" s="25"/>
      <c r="KV178" s="25"/>
      <c r="KW178" s="25"/>
      <c r="KX178" s="25"/>
      <c r="KY178" s="25"/>
      <c r="KZ178" s="25"/>
      <c r="LA178" s="25"/>
      <c r="LB178" s="25"/>
      <c r="LC178" s="25"/>
      <c r="LD178" s="25"/>
      <c r="LE178" s="25"/>
      <c r="LF178" s="25"/>
      <c r="LG178" s="25"/>
      <c r="LH178" s="25"/>
      <c r="LI178" s="25"/>
      <c r="LJ178" s="25"/>
      <c r="LK178" s="25"/>
      <c r="LL178" s="25"/>
      <c r="LM178" s="25"/>
      <c r="LN178" s="25"/>
      <c r="LO178" s="25"/>
      <c r="LP178" s="25"/>
      <c r="LQ178" s="25"/>
      <c r="LR178" s="25"/>
      <c r="LS178" s="25"/>
      <c r="LT178" s="25"/>
      <c r="LU178" s="25"/>
      <c r="LV178" s="25"/>
      <c r="LW178" s="25"/>
      <c r="LX178" s="25"/>
      <c r="LY178" s="25"/>
      <c r="LZ178" s="25"/>
      <c r="MA178" s="25"/>
      <c r="MB178" s="25"/>
      <c r="MC178" s="25"/>
      <c r="MD178" s="25"/>
      <c r="ME178" s="25"/>
      <c r="MF178" s="25"/>
      <c r="MG178" s="25"/>
      <c r="MH178" s="25"/>
      <c r="MI178" s="25"/>
      <c r="MJ178" s="25"/>
      <c r="MK178" s="25"/>
      <c r="ML178" s="25"/>
      <c r="MM178" s="25"/>
      <c r="MN178" s="25"/>
      <c r="MO178" s="25"/>
      <c r="MP178" s="25"/>
      <c r="MQ178" s="25"/>
      <c r="MR178" s="25"/>
      <c r="MS178" s="25"/>
      <c r="MT178" s="25"/>
      <c r="MU178" s="25"/>
      <c r="MV178" s="25"/>
      <c r="MW178" s="25"/>
      <c r="MX178" s="25"/>
      <c r="MY178" s="25"/>
      <c r="MZ178" s="25"/>
      <c r="NA178" s="25"/>
      <c r="NB178" s="25"/>
      <c r="NC178" s="25"/>
      <c r="ND178" s="25"/>
      <c r="NE178" s="33"/>
    </row>
    <row r="179" spans="1:427" ht="13.5" customHeight="1" x14ac:dyDescent="0.2">
      <c r="A179" s="28"/>
      <c r="B179" s="22"/>
      <c r="C179" s="26"/>
      <c r="D179" s="44"/>
      <c r="E179" s="23"/>
      <c r="F179" s="24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  <c r="BL179" s="25"/>
      <c r="BM179" s="25"/>
      <c r="BN179" s="25"/>
      <c r="BO179" s="25"/>
      <c r="BP179" s="25"/>
      <c r="BQ179" s="25"/>
      <c r="BR179" s="25"/>
      <c r="BS179" s="25"/>
      <c r="BT179" s="25"/>
      <c r="BU179" s="25"/>
      <c r="BV179" s="25"/>
      <c r="BW179" s="25"/>
      <c r="BX179" s="25"/>
      <c r="BY179" s="25"/>
      <c r="BZ179" s="25"/>
      <c r="CA179" s="25"/>
      <c r="CB179" s="25"/>
      <c r="CC179" s="25"/>
      <c r="CD179" s="25"/>
      <c r="CE179" s="25"/>
      <c r="CF179" s="25"/>
      <c r="CG179" s="25"/>
      <c r="CH179" s="25"/>
      <c r="CI179" s="25"/>
      <c r="CJ179" s="25"/>
      <c r="CK179" s="25"/>
      <c r="CL179" s="25"/>
      <c r="CM179" s="25"/>
      <c r="CN179" s="25"/>
      <c r="CO179" s="25"/>
      <c r="CP179" s="25"/>
      <c r="CQ179" s="25"/>
      <c r="CR179" s="25"/>
      <c r="CS179" s="25"/>
      <c r="CT179" s="25"/>
      <c r="CU179" s="25"/>
      <c r="CV179" s="25"/>
      <c r="CW179" s="25"/>
      <c r="CX179" s="25"/>
      <c r="CY179" s="25"/>
      <c r="CZ179" s="25"/>
      <c r="DA179" s="25"/>
      <c r="DB179" s="25"/>
      <c r="DC179" s="25"/>
      <c r="DD179" s="25"/>
      <c r="DE179" s="25"/>
      <c r="DF179" s="25"/>
      <c r="DG179" s="25"/>
      <c r="DH179" s="25"/>
      <c r="DI179" s="25"/>
      <c r="DJ179" s="25"/>
      <c r="DK179" s="25"/>
      <c r="DL179" s="25"/>
      <c r="DM179" s="25"/>
      <c r="DN179" s="25"/>
      <c r="DO179" s="25"/>
      <c r="DP179" s="25"/>
      <c r="DQ179" s="25"/>
      <c r="DR179" s="25"/>
      <c r="DS179" s="25"/>
      <c r="DT179" s="25"/>
      <c r="DU179" s="25"/>
      <c r="DV179" s="25"/>
      <c r="DW179" s="25"/>
      <c r="DX179" s="25"/>
      <c r="DY179" s="25"/>
      <c r="DZ179" s="25"/>
      <c r="EA179" s="25"/>
      <c r="EB179" s="25"/>
      <c r="EC179" s="25"/>
      <c r="ED179" s="25"/>
      <c r="EE179" s="25"/>
      <c r="EF179" s="25"/>
      <c r="EG179" s="25"/>
      <c r="EH179" s="25"/>
      <c r="EI179" s="25"/>
      <c r="EJ179" s="25"/>
      <c r="EK179" s="25"/>
      <c r="EL179" s="25"/>
      <c r="EM179" s="25"/>
      <c r="EN179" s="25"/>
      <c r="EO179" s="25"/>
      <c r="EP179" s="25"/>
      <c r="EQ179" s="25"/>
      <c r="ER179" s="25"/>
      <c r="ES179" s="25"/>
      <c r="ET179" s="25"/>
      <c r="EU179" s="25"/>
      <c r="EV179" s="25"/>
      <c r="EW179" s="25"/>
      <c r="EX179" s="25"/>
      <c r="EY179" s="25"/>
      <c r="EZ179" s="25"/>
      <c r="FA179" s="25"/>
      <c r="FB179" s="25"/>
      <c r="FC179" s="25"/>
      <c r="FD179" s="25"/>
      <c r="FE179" s="25"/>
      <c r="FF179" s="25"/>
      <c r="FG179" s="25"/>
      <c r="FH179" s="25"/>
      <c r="FI179" s="25"/>
      <c r="FJ179" s="25"/>
      <c r="FK179" s="25"/>
      <c r="FL179" s="25"/>
      <c r="FM179" s="25"/>
      <c r="FN179" s="25"/>
      <c r="FO179" s="25"/>
      <c r="FP179" s="25"/>
      <c r="FQ179" s="25"/>
      <c r="FR179" s="25"/>
      <c r="FS179" s="25"/>
      <c r="FT179" s="25"/>
      <c r="FU179" s="25"/>
      <c r="FV179" s="25"/>
      <c r="FW179" s="25"/>
      <c r="FX179" s="25"/>
      <c r="FY179" s="25"/>
      <c r="FZ179" s="25"/>
      <c r="GA179" s="25"/>
      <c r="GB179" s="25"/>
      <c r="GC179" s="25"/>
      <c r="GD179" s="25"/>
      <c r="GE179" s="25"/>
      <c r="GF179" s="25"/>
      <c r="GG179" s="25"/>
      <c r="GH179" s="25"/>
      <c r="GI179" s="25"/>
      <c r="GJ179" s="25"/>
      <c r="GK179" s="25"/>
      <c r="GL179" s="25"/>
      <c r="GM179" s="25"/>
      <c r="GN179" s="25"/>
      <c r="GO179" s="25"/>
      <c r="GP179" s="25"/>
      <c r="GQ179" s="25"/>
      <c r="GR179" s="25"/>
      <c r="GS179" s="25"/>
      <c r="GT179" s="25"/>
      <c r="GU179" s="25"/>
      <c r="GV179" s="25"/>
      <c r="GW179" s="25"/>
      <c r="GX179" s="25"/>
      <c r="GY179" s="25"/>
      <c r="GZ179" s="25"/>
      <c r="HA179" s="25"/>
      <c r="HB179" s="25"/>
      <c r="HC179" s="25"/>
      <c r="HD179" s="25"/>
      <c r="HE179" s="25"/>
      <c r="HF179" s="25"/>
      <c r="HG179" s="25"/>
      <c r="HH179" s="25"/>
      <c r="HI179" s="25"/>
      <c r="HJ179" s="25"/>
      <c r="HK179" s="25"/>
      <c r="HL179" s="25"/>
      <c r="HM179" s="25"/>
      <c r="HN179" s="25"/>
      <c r="HO179" s="25"/>
      <c r="HP179" s="25"/>
      <c r="HQ179" s="25"/>
      <c r="HR179" s="25"/>
      <c r="HS179" s="25"/>
      <c r="HT179" s="25"/>
      <c r="HU179" s="25"/>
      <c r="HV179" s="25"/>
      <c r="HW179" s="25"/>
      <c r="HX179" s="25"/>
      <c r="HY179" s="25"/>
      <c r="HZ179" s="25"/>
      <c r="IA179" s="25"/>
      <c r="IB179" s="25"/>
      <c r="IC179" s="25"/>
      <c r="ID179" s="25"/>
      <c r="IE179" s="25"/>
      <c r="IF179" s="25"/>
      <c r="IG179" s="25"/>
      <c r="IH179" s="25"/>
      <c r="II179" s="25"/>
      <c r="IJ179" s="25"/>
      <c r="IK179" s="25"/>
      <c r="IL179" s="25"/>
      <c r="IM179" s="25"/>
      <c r="IN179" s="25"/>
      <c r="IO179" s="25"/>
      <c r="IP179" s="25"/>
      <c r="IQ179" s="25"/>
      <c r="IR179" s="25"/>
      <c r="IS179" s="25"/>
      <c r="IT179" s="25"/>
      <c r="IU179" s="25"/>
      <c r="IV179" s="25"/>
      <c r="IW179" s="25"/>
      <c r="IX179" s="25"/>
      <c r="IY179" s="25"/>
      <c r="IZ179" s="25"/>
      <c r="JA179" s="25"/>
      <c r="JB179" s="25"/>
      <c r="JC179" s="25"/>
      <c r="JD179" s="25"/>
      <c r="JE179" s="25"/>
      <c r="JF179" s="25"/>
      <c r="JG179" s="25"/>
      <c r="JH179" s="25"/>
      <c r="JI179" s="25"/>
      <c r="JJ179" s="25"/>
      <c r="JK179" s="25"/>
      <c r="JL179" s="25"/>
      <c r="JM179" s="25"/>
      <c r="JN179" s="25"/>
      <c r="JO179" s="25"/>
      <c r="JP179" s="25"/>
      <c r="JQ179" s="25"/>
      <c r="JR179" s="25"/>
      <c r="JS179" s="25"/>
      <c r="JT179" s="25"/>
      <c r="JU179" s="25"/>
      <c r="JV179" s="25"/>
      <c r="JW179" s="25"/>
      <c r="JX179" s="25"/>
      <c r="JY179" s="25"/>
      <c r="JZ179" s="25"/>
      <c r="KA179" s="25"/>
      <c r="KB179" s="25"/>
      <c r="KC179" s="25"/>
      <c r="KD179" s="25"/>
      <c r="KE179" s="25"/>
      <c r="KF179" s="25"/>
      <c r="KG179" s="25"/>
      <c r="KH179" s="25"/>
      <c r="KI179" s="25"/>
      <c r="KJ179" s="25"/>
      <c r="KK179" s="25"/>
      <c r="KL179" s="25"/>
      <c r="KM179" s="25"/>
      <c r="KN179" s="25"/>
      <c r="KO179" s="25"/>
      <c r="KP179" s="25"/>
      <c r="KQ179" s="25"/>
      <c r="KR179" s="25"/>
      <c r="KS179" s="25"/>
      <c r="KT179" s="25"/>
      <c r="KU179" s="25"/>
      <c r="KV179" s="25"/>
      <c r="KW179" s="25"/>
      <c r="KX179" s="25"/>
      <c r="KY179" s="25"/>
      <c r="KZ179" s="25"/>
      <c r="LA179" s="25"/>
      <c r="LB179" s="25"/>
      <c r="LC179" s="25"/>
      <c r="LD179" s="25"/>
      <c r="LE179" s="25"/>
      <c r="LF179" s="25"/>
      <c r="LG179" s="25"/>
      <c r="LH179" s="25"/>
      <c r="LI179" s="25"/>
      <c r="LJ179" s="25"/>
      <c r="LK179" s="25"/>
      <c r="LL179" s="25"/>
      <c r="LM179" s="25"/>
      <c r="LN179" s="25"/>
      <c r="LO179" s="25"/>
      <c r="LP179" s="25"/>
      <c r="LQ179" s="25"/>
      <c r="LR179" s="25"/>
      <c r="LS179" s="25"/>
      <c r="LT179" s="25"/>
      <c r="LU179" s="25"/>
      <c r="LV179" s="25"/>
      <c r="LW179" s="25"/>
      <c r="LX179" s="25"/>
      <c r="LY179" s="25"/>
      <c r="LZ179" s="25"/>
      <c r="MA179" s="25"/>
      <c r="MB179" s="25"/>
      <c r="MC179" s="25"/>
      <c r="MD179" s="25"/>
      <c r="ME179" s="25"/>
      <c r="MF179" s="25"/>
      <c r="MG179" s="25"/>
      <c r="MH179" s="25"/>
      <c r="MI179" s="25"/>
      <c r="MJ179" s="25"/>
      <c r="MK179" s="25"/>
      <c r="ML179" s="25"/>
      <c r="MM179" s="25"/>
      <c r="MN179" s="25"/>
      <c r="MO179" s="25"/>
      <c r="MP179" s="25"/>
      <c r="MQ179" s="25"/>
      <c r="MR179" s="25"/>
      <c r="MS179" s="25"/>
      <c r="MT179" s="25"/>
      <c r="MU179" s="25"/>
      <c r="MV179" s="25"/>
      <c r="MW179" s="25"/>
      <c r="MX179" s="25"/>
      <c r="MY179" s="25"/>
      <c r="MZ179" s="25"/>
      <c r="NA179" s="25"/>
      <c r="NB179" s="25"/>
      <c r="NC179" s="25"/>
      <c r="ND179" s="25"/>
      <c r="NE179" s="33"/>
      <c r="OG179" s="18">
        <v>1</v>
      </c>
      <c r="OH179" s="18">
        <v>43336</v>
      </c>
      <c r="OI179" s="18">
        <v>43388</v>
      </c>
      <c r="PJ179" s="20" t="s">
        <v>11</v>
      </c>
      <c r="PK179" s="20">
        <v>106</v>
      </c>
    </row>
    <row r="180" spans="1:427" ht="13.5" customHeight="1" x14ac:dyDescent="0.2">
      <c r="A180" s="28"/>
      <c r="B180" s="22"/>
      <c r="C180" s="26"/>
      <c r="D180" s="44"/>
      <c r="E180" s="23"/>
      <c r="F180" s="24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  <c r="BL180" s="25"/>
      <c r="BM180" s="25"/>
      <c r="BN180" s="25"/>
      <c r="BO180" s="25"/>
      <c r="BP180" s="25"/>
      <c r="BQ180" s="25"/>
      <c r="BR180" s="25"/>
      <c r="BS180" s="25"/>
      <c r="BT180" s="25"/>
      <c r="BU180" s="25"/>
      <c r="BV180" s="25"/>
      <c r="BW180" s="25"/>
      <c r="BX180" s="25"/>
      <c r="BY180" s="25"/>
      <c r="BZ180" s="25"/>
      <c r="CA180" s="25"/>
      <c r="CB180" s="25"/>
      <c r="CC180" s="25"/>
      <c r="CD180" s="25"/>
      <c r="CE180" s="25"/>
      <c r="CF180" s="25"/>
      <c r="CG180" s="25"/>
      <c r="CH180" s="25"/>
      <c r="CI180" s="25"/>
      <c r="CJ180" s="25"/>
      <c r="CK180" s="25"/>
      <c r="CL180" s="25"/>
      <c r="CM180" s="25"/>
      <c r="CN180" s="25"/>
      <c r="CO180" s="25"/>
      <c r="CP180" s="25"/>
      <c r="CQ180" s="25"/>
      <c r="CR180" s="25"/>
      <c r="CS180" s="25"/>
      <c r="CT180" s="25"/>
      <c r="CU180" s="25"/>
      <c r="CV180" s="25"/>
      <c r="CW180" s="25"/>
      <c r="CX180" s="25"/>
      <c r="CY180" s="25"/>
      <c r="CZ180" s="25"/>
      <c r="DA180" s="25"/>
      <c r="DB180" s="25"/>
      <c r="DC180" s="25"/>
      <c r="DD180" s="25"/>
      <c r="DE180" s="25"/>
      <c r="DF180" s="25"/>
      <c r="DG180" s="25"/>
      <c r="DH180" s="25"/>
      <c r="DI180" s="25"/>
      <c r="DJ180" s="25"/>
      <c r="DK180" s="25"/>
      <c r="DL180" s="25"/>
      <c r="DM180" s="25"/>
      <c r="DN180" s="25"/>
      <c r="DO180" s="25"/>
      <c r="DP180" s="25"/>
      <c r="DQ180" s="25"/>
      <c r="DR180" s="25"/>
      <c r="DS180" s="25"/>
      <c r="DT180" s="25"/>
      <c r="DU180" s="25"/>
      <c r="DV180" s="25"/>
      <c r="DW180" s="25"/>
      <c r="DX180" s="25"/>
      <c r="DY180" s="25"/>
      <c r="DZ180" s="25"/>
      <c r="EA180" s="25"/>
      <c r="EB180" s="25"/>
      <c r="EC180" s="25"/>
      <c r="ED180" s="25"/>
      <c r="EE180" s="25"/>
      <c r="EF180" s="25"/>
      <c r="EG180" s="25"/>
      <c r="EH180" s="25"/>
      <c r="EI180" s="25"/>
      <c r="EJ180" s="25"/>
      <c r="EK180" s="25"/>
      <c r="EL180" s="25"/>
      <c r="EM180" s="25"/>
      <c r="EN180" s="25"/>
      <c r="EO180" s="25"/>
      <c r="EP180" s="25"/>
      <c r="EQ180" s="25"/>
      <c r="ER180" s="25"/>
      <c r="ES180" s="25"/>
      <c r="ET180" s="25"/>
      <c r="EU180" s="25"/>
      <c r="EV180" s="25"/>
      <c r="EW180" s="25"/>
      <c r="EX180" s="25"/>
      <c r="EY180" s="25"/>
      <c r="EZ180" s="25"/>
      <c r="FA180" s="25"/>
      <c r="FB180" s="25"/>
      <c r="FC180" s="25"/>
      <c r="FD180" s="25"/>
      <c r="FE180" s="25"/>
      <c r="FF180" s="25"/>
      <c r="FG180" s="25"/>
      <c r="FH180" s="25"/>
      <c r="FI180" s="25"/>
      <c r="FJ180" s="25"/>
      <c r="FK180" s="25"/>
      <c r="FL180" s="25"/>
      <c r="FM180" s="25"/>
      <c r="FN180" s="25"/>
      <c r="FO180" s="25"/>
      <c r="FP180" s="25"/>
      <c r="FQ180" s="25"/>
      <c r="FR180" s="25"/>
      <c r="FS180" s="25"/>
      <c r="FT180" s="25"/>
      <c r="FU180" s="25"/>
      <c r="FV180" s="25"/>
      <c r="FW180" s="25"/>
      <c r="FX180" s="25"/>
      <c r="FY180" s="25"/>
      <c r="FZ180" s="25"/>
      <c r="GA180" s="25"/>
      <c r="GB180" s="25"/>
      <c r="GC180" s="25"/>
      <c r="GD180" s="25"/>
      <c r="GE180" s="25"/>
      <c r="GF180" s="25"/>
      <c r="GG180" s="25"/>
      <c r="GH180" s="25"/>
      <c r="GI180" s="25"/>
      <c r="GJ180" s="25"/>
      <c r="GK180" s="25"/>
      <c r="GL180" s="25"/>
      <c r="GM180" s="25"/>
      <c r="GN180" s="25"/>
      <c r="GO180" s="25"/>
      <c r="GP180" s="25"/>
      <c r="GQ180" s="25"/>
      <c r="GR180" s="25"/>
      <c r="GS180" s="25"/>
      <c r="GT180" s="25"/>
      <c r="GU180" s="25"/>
      <c r="GV180" s="25"/>
      <c r="GW180" s="25"/>
      <c r="GX180" s="25"/>
      <c r="GY180" s="25"/>
      <c r="GZ180" s="25"/>
      <c r="HA180" s="25"/>
      <c r="HB180" s="25"/>
      <c r="HC180" s="25"/>
      <c r="HD180" s="25"/>
      <c r="HE180" s="25"/>
      <c r="HF180" s="25"/>
      <c r="HG180" s="25"/>
      <c r="HH180" s="25"/>
      <c r="HI180" s="25"/>
      <c r="HJ180" s="25"/>
      <c r="HK180" s="25"/>
      <c r="HL180" s="25"/>
      <c r="HM180" s="25"/>
      <c r="HN180" s="25"/>
      <c r="HO180" s="25"/>
      <c r="HP180" s="25"/>
      <c r="HQ180" s="25"/>
      <c r="HR180" s="25"/>
      <c r="HS180" s="25"/>
      <c r="HT180" s="25"/>
      <c r="HU180" s="25"/>
      <c r="HV180" s="25"/>
      <c r="HW180" s="25"/>
      <c r="HX180" s="25"/>
      <c r="HY180" s="25"/>
      <c r="HZ180" s="25"/>
      <c r="IA180" s="25"/>
      <c r="IB180" s="25"/>
      <c r="IC180" s="25"/>
      <c r="ID180" s="25"/>
      <c r="IE180" s="25"/>
      <c r="IF180" s="25"/>
      <c r="IG180" s="25"/>
      <c r="IH180" s="25"/>
      <c r="II180" s="25"/>
      <c r="IJ180" s="25"/>
      <c r="IK180" s="25"/>
      <c r="IL180" s="25"/>
      <c r="IM180" s="25"/>
      <c r="IN180" s="25"/>
      <c r="IO180" s="25"/>
      <c r="IP180" s="25"/>
      <c r="IQ180" s="25"/>
      <c r="IR180" s="25"/>
      <c r="IS180" s="25"/>
      <c r="IT180" s="25"/>
      <c r="IU180" s="25"/>
      <c r="IV180" s="25"/>
      <c r="IW180" s="25"/>
      <c r="IX180" s="25"/>
      <c r="IY180" s="25"/>
      <c r="IZ180" s="25"/>
      <c r="JA180" s="25"/>
      <c r="JB180" s="25"/>
      <c r="JC180" s="25"/>
      <c r="JD180" s="25"/>
      <c r="JE180" s="25"/>
      <c r="JF180" s="25"/>
      <c r="JG180" s="25"/>
      <c r="JH180" s="25"/>
      <c r="JI180" s="25"/>
      <c r="JJ180" s="25"/>
      <c r="JK180" s="25"/>
      <c r="JL180" s="25"/>
      <c r="JM180" s="25"/>
      <c r="JN180" s="25"/>
      <c r="JO180" s="25"/>
      <c r="JP180" s="25"/>
      <c r="JQ180" s="25"/>
      <c r="JR180" s="25"/>
      <c r="JS180" s="25"/>
      <c r="JT180" s="25"/>
      <c r="JU180" s="25"/>
      <c r="JV180" s="25"/>
      <c r="JW180" s="25"/>
      <c r="JX180" s="25"/>
      <c r="JY180" s="25"/>
      <c r="JZ180" s="25"/>
      <c r="KA180" s="25"/>
      <c r="KB180" s="25"/>
      <c r="KC180" s="25"/>
      <c r="KD180" s="25"/>
      <c r="KE180" s="25"/>
      <c r="KF180" s="25"/>
      <c r="KG180" s="25"/>
      <c r="KH180" s="25"/>
      <c r="KI180" s="25"/>
      <c r="KJ180" s="25"/>
      <c r="KK180" s="25"/>
      <c r="KL180" s="25"/>
      <c r="KM180" s="25"/>
      <c r="KN180" s="25"/>
      <c r="KO180" s="25"/>
      <c r="KP180" s="25"/>
      <c r="KQ180" s="25"/>
      <c r="KR180" s="25"/>
      <c r="KS180" s="25"/>
      <c r="KT180" s="25"/>
      <c r="KU180" s="25"/>
      <c r="KV180" s="25"/>
      <c r="KW180" s="25"/>
      <c r="KX180" s="25"/>
      <c r="KY180" s="25"/>
      <c r="KZ180" s="25"/>
      <c r="LA180" s="25"/>
      <c r="LB180" s="25"/>
      <c r="LC180" s="25"/>
      <c r="LD180" s="25"/>
      <c r="LE180" s="25"/>
      <c r="LF180" s="25"/>
      <c r="LG180" s="25"/>
      <c r="LH180" s="25"/>
      <c r="LI180" s="25"/>
      <c r="LJ180" s="25"/>
      <c r="LK180" s="25"/>
      <c r="LL180" s="25"/>
      <c r="LM180" s="25"/>
      <c r="LN180" s="25"/>
      <c r="LO180" s="25"/>
      <c r="LP180" s="25"/>
      <c r="LQ180" s="25"/>
      <c r="LR180" s="25"/>
      <c r="LS180" s="25"/>
      <c r="LT180" s="25"/>
      <c r="LU180" s="25"/>
      <c r="LV180" s="25"/>
      <c r="LW180" s="25"/>
      <c r="LX180" s="25"/>
      <c r="LY180" s="25"/>
      <c r="LZ180" s="25"/>
      <c r="MA180" s="25"/>
      <c r="MB180" s="25"/>
      <c r="MC180" s="25"/>
      <c r="MD180" s="25"/>
      <c r="ME180" s="25"/>
      <c r="MF180" s="25"/>
      <c r="MG180" s="25"/>
      <c r="MH180" s="25"/>
      <c r="MI180" s="25"/>
      <c r="MJ180" s="25"/>
      <c r="MK180" s="25"/>
      <c r="ML180" s="25"/>
      <c r="MM180" s="25"/>
      <c r="MN180" s="25"/>
      <c r="MO180" s="25"/>
      <c r="MP180" s="25"/>
      <c r="MQ180" s="25"/>
      <c r="MR180" s="25"/>
      <c r="MS180" s="25"/>
      <c r="MT180" s="25"/>
      <c r="MU180" s="25"/>
      <c r="MV180" s="25"/>
      <c r="MW180" s="25"/>
      <c r="MX180" s="25"/>
      <c r="MY180" s="25"/>
      <c r="MZ180" s="25"/>
      <c r="NA180" s="25"/>
      <c r="NB180" s="25"/>
      <c r="NC180" s="25"/>
      <c r="ND180" s="25"/>
      <c r="NE180" s="33"/>
      <c r="OG180" s="18">
        <v>1</v>
      </c>
      <c r="OH180" s="18">
        <v>43196</v>
      </c>
      <c r="OI180" s="18">
        <v>43248</v>
      </c>
      <c r="PJ180" s="20" t="s">
        <v>11</v>
      </c>
      <c r="PK180" s="20">
        <v>106</v>
      </c>
    </row>
    <row r="181" spans="1:427" ht="0.75" customHeight="1" x14ac:dyDescent="0.2">
      <c r="A181" s="28"/>
      <c r="B181" s="22"/>
      <c r="C181" s="22"/>
      <c r="D181" s="44"/>
      <c r="E181" s="23"/>
      <c r="F181" s="24" t="s">
        <v>10</v>
      </c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5"/>
      <c r="BJ181" s="25"/>
      <c r="BK181" s="25"/>
      <c r="BL181" s="25"/>
      <c r="BM181" s="25"/>
      <c r="BN181" s="25"/>
      <c r="BO181" s="25"/>
      <c r="BP181" s="25"/>
      <c r="BQ181" s="25"/>
      <c r="BR181" s="25"/>
      <c r="BS181" s="25"/>
      <c r="BT181" s="25"/>
      <c r="BU181" s="25"/>
      <c r="BV181" s="25"/>
      <c r="BW181" s="25"/>
      <c r="BX181" s="25"/>
      <c r="BY181" s="25"/>
      <c r="BZ181" s="25"/>
      <c r="CA181" s="25"/>
      <c r="CB181" s="25"/>
      <c r="CC181" s="25"/>
      <c r="CD181" s="25"/>
      <c r="CE181" s="25"/>
      <c r="CF181" s="25"/>
      <c r="CG181" s="25"/>
      <c r="CH181" s="25"/>
      <c r="CI181" s="25"/>
      <c r="CJ181" s="25"/>
      <c r="CK181" s="25"/>
      <c r="CL181" s="25"/>
      <c r="CM181" s="25"/>
      <c r="CN181" s="25"/>
      <c r="CO181" s="25"/>
      <c r="CP181" s="25"/>
      <c r="CQ181" s="25"/>
      <c r="CR181" s="25"/>
      <c r="CS181" s="25"/>
      <c r="CT181" s="25"/>
      <c r="CU181" s="25"/>
      <c r="CV181" s="25"/>
      <c r="CW181" s="25"/>
      <c r="CX181" s="25"/>
      <c r="CY181" s="25"/>
      <c r="CZ181" s="25"/>
      <c r="DA181" s="25"/>
      <c r="DB181" s="25"/>
      <c r="DC181" s="25"/>
      <c r="DD181" s="25"/>
      <c r="DE181" s="25"/>
      <c r="DF181" s="25"/>
      <c r="DG181" s="25"/>
      <c r="DH181" s="25"/>
      <c r="DI181" s="25"/>
      <c r="DJ181" s="25"/>
      <c r="DK181" s="25"/>
      <c r="DL181" s="25"/>
      <c r="DM181" s="25"/>
      <c r="DN181" s="25"/>
      <c r="DO181" s="25"/>
      <c r="DP181" s="25"/>
      <c r="DQ181" s="25"/>
      <c r="DR181" s="25"/>
      <c r="DS181" s="25"/>
      <c r="DT181" s="25"/>
      <c r="DU181" s="25"/>
      <c r="DV181" s="25"/>
      <c r="DW181" s="25"/>
      <c r="DX181" s="25"/>
      <c r="DY181" s="25"/>
      <c r="DZ181" s="25"/>
      <c r="EA181" s="25"/>
      <c r="EB181" s="25"/>
      <c r="EC181" s="25"/>
      <c r="ED181" s="25"/>
      <c r="EE181" s="25"/>
      <c r="EF181" s="25"/>
      <c r="EG181" s="25"/>
      <c r="EH181" s="25"/>
      <c r="EI181" s="25"/>
      <c r="EJ181" s="25"/>
      <c r="EK181" s="25"/>
      <c r="EL181" s="25"/>
      <c r="EM181" s="25"/>
      <c r="EN181" s="25"/>
      <c r="EO181" s="25"/>
      <c r="EP181" s="25"/>
      <c r="EQ181" s="25"/>
      <c r="ER181" s="25"/>
      <c r="ES181" s="25"/>
      <c r="ET181" s="25"/>
      <c r="EU181" s="25"/>
      <c r="EV181" s="25"/>
      <c r="EW181" s="25"/>
      <c r="EX181" s="25"/>
      <c r="EY181" s="25"/>
      <c r="EZ181" s="25"/>
      <c r="FA181" s="25"/>
      <c r="FB181" s="25"/>
      <c r="FC181" s="25"/>
      <c r="FD181" s="25"/>
      <c r="FE181" s="25"/>
      <c r="FF181" s="25"/>
      <c r="FG181" s="25"/>
      <c r="FH181" s="25"/>
      <c r="FI181" s="25"/>
      <c r="FJ181" s="25"/>
      <c r="FK181" s="25"/>
      <c r="FL181" s="25"/>
      <c r="FM181" s="25"/>
      <c r="FN181" s="25"/>
      <c r="FO181" s="25"/>
      <c r="FP181" s="25"/>
      <c r="FQ181" s="25"/>
      <c r="FR181" s="25"/>
      <c r="FS181" s="25"/>
      <c r="FT181" s="25"/>
      <c r="FU181" s="25"/>
      <c r="FV181" s="25"/>
      <c r="FW181" s="25"/>
      <c r="FX181" s="25"/>
      <c r="FY181" s="25"/>
      <c r="FZ181" s="25"/>
      <c r="GA181" s="25"/>
      <c r="GB181" s="25"/>
      <c r="GC181" s="25"/>
      <c r="GD181" s="25"/>
      <c r="GE181" s="25"/>
      <c r="GF181" s="25"/>
      <c r="GG181" s="25"/>
      <c r="GH181" s="25"/>
      <c r="GI181" s="25"/>
      <c r="GJ181" s="25"/>
      <c r="GK181" s="25"/>
      <c r="GL181" s="25"/>
      <c r="GM181" s="25"/>
      <c r="GN181" s="25"/>
      <c r="GO181" s="25"/>
      <c r="GP181" s="25"/>
      <c r="GQ181" s="25"/>
      <c r="GR181" s="25"/>
      <c r="GS181" s="25"/>
      <c r="GT181" s="25"/>
      <c r="GU181" s="25"/>
      <c r="GV181" s="25"/>
      <c r="GW181" s="25"/>
      <c r="GX181" s="25"/>
      <c r="GY181" s="25"/>
      <c r="GZ181" s="25"/>
      <c r="HA181" s="25"/>
      <c r="HB181" s="25"/>
      <c r="HC181" s="25"/>
      <c r="HD181" s="25"/>
      <c r="HE181" s="25"/>
      <c r="HF181" s="25"/>
      <c r="HG181" s="25"/>
      <c r="HH181" s="25"/>
      <c r="HI181" s="25"/>
      <c r="HJ181" s="25"/>
      <c r="HK181" s="25"/>
      <c r="HL181" s="25"/>
      <c r="HM181" s="25"/>
      <c r="HN181" s="25"/>
      <c r="HO181" s="25"/>
      <c r="HP181" s="25"/>
      <c r="HQ181" s="25"/>
      <c r="HR181" s="25"/>
      <c r="HS181" s="25"/>
      <c r="HT181" s="25"/>
      <c r="HU181" s="25"/>
      <c r="HV181" s="25"/>
      <c r="HW181" s="25"/>
      <c r="HX181" s="25"/>
      <c r="HY181" s="25"/>
      <c r="HZ181" s="25"/>
      <c r="IA181" s="25"/>
      <c r="IB181" s="25"/>
      <c r="IC181" s="25"/>
      <c r="ID181" s="25"/>
      <c r="IE181" s="25"/>
      <c r="IF181" s="25"/>
      <c r="IG181" s="25"/>
      <c r="IH181" s="25"/>
      <c r="II181" s="25"/>
      <c r="IJ181" s="25"/>
      <c r="IK181" s="25"/>
      <c r="IL181" s="25"/>
      <c r="IM181" s="25"/>
      <c r="IN181" s="25"/>
      <c r="IO181" s="25"/>
      <c r="IP181" s="25"/>
      <c r="IQ181" s="2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5"/>
      <c r="JH181" s="25"/>
      <c r="JI181" s="25"/>
      <c r="JJ181" s="25"/>
      <c r="JK181" s="25"/>
      <c r="JL181" s="25"/>
      <c r="JM181" s="25"/>
      <c r="JN181" s="25"/>
      <c r="JO181" s="25"/>
      <c r="JP181" s="25"/>
      <c r="JQ181" s="25"/>
      <c r="JR181" s="25"/>
      <c r="JS181" s="25"/>
      <c r="JT181" s="25"/>
      <c r="JU181" s="25"/>
      <c r="JV181" s="25"/>
      <c r="JW181" s="25"/>
      <c r="JX181" s="25"/>
      <c r="JY181" s="25"/>
      <c r="JZ181" s="25"/>
      <c r="KA181" s="25"/>
      <c r="KB181" s="25"/>
      <c r="KC181" s="25"/>
      <c r="KD181" s="25"/>
      <c r="KE181" s="25"/>
      <c r="KF181" s="25"/>
      <c r="KG181" s="25"/>
      <c r="KH181" s="25"/>
      <c r="KI181" s="25"/>
      <c r="KJ181" s="25"/>
      <c r="KK181" s="25"/>
      <c r="KL181" s="25"/>
      <c r="KM181" s="25"/>
      <c r="KN181" s="25"/>
      <c r="KO181" s="25"/>
      <c r="KP181" s="25"/>
      <c r="KQ181" s="25"/>
      <c r="KR181" s="25"/>
      <c r="KS181" s="25"/>
      <c r="KT181" s="25"/>
      <c r="KU181" s="25"/>
      <c r="KV181" s="25"/>
      <c r="KW181" s="25"/>
      <c r="KX181" s="25"/>
      <c r="KY181" s="25"/>
      <c r="KZ181" s="25"/>
      <c r="LA181" s="25"/>
      <c r="LB181" s="25"/>
      <c r="LC181" s="25"/>
      <c r="LD181" s="25"/>
      <c r="LE181" s="25"/>
      <c r="LF181" s="25"/>
      <c r="LG181" s="25"/>
      <c r="LH181" s="25"/>
      <c r="LI181" s="25"/>
      <c r="LJ181" s="25"/>
      <c r="LK181" s="25"/>
      <c r="LL181" s="25"/>
      <c r="LM181" s="25"/>
      <c r="LN181" s="25"/>
      <c r="LO181" s="25"/>
      <c r="LP181" s="25"/>
      <c r="LQ181" s="25"/>
      <c r="LR181" s="25"/>
      <c r="LS181" s="25"/>
      <c r="LT181" s="25"/>
      <c r="LU181" s="25"/>
      <c r="LV181" s="25"/>
      <c r="LW181" s="25"/>
      <c r="LX181" s="25"/>
      <c r="LY181" s="25"/>
      <c r="LZ181" s="25"/>
      <c r="MA181" s="25"/>
      <c r="MB181" s="25"/>
      <c r="MC181" s="25"/>
      <c r="MD181" s="25"/>
      <c r="ME181" s="25"/>
      <c r="MF181" s="25"/>
      <c r="MG181" s="25"/>
      <c r="MH181" s="25"/>
      <c r="MI181" s="25"/>
      <c r="MJ181" s="25"/>
      <c r="MK181" s="25"/>
      <c r="ML181" s="25"/>
      <c r="MM181" s="25"/>
      <c r="MN181" s="25"/>
      <c r="MO181" s="25"/>
      <c r="MP181" s="25"/>
      <c r="MQ181" s="25"/>
      <c r="MR181" s="25"/>
      <c r="MS181" s="25"/>
      <c r="MT181" s="25"/>
      <c r="MU181" s="25"/>
      <c r="MV181" s="25"/>
      <c r="MW181" s="25"/>
      <c r="MX181" s="25"/>
      <c r="MY181" s="25"/>
      <c r="MZ181" s="25"/>
      <c r="NA181" s="25"/>
      <c r="NB181" s="25"/>
      <c r="NC181" s="25"/>
      <c r="ND181" s="25"/>
      <c r="NE181" s="33"/>
    </row>
    <row r="182" spans="1:427" ht="13.5" customHeight="1" x14ac:dyDescent="0.2">
      <c r="A182" s="28"/>
      <c r="B182" s="22"/>
      <c r="C182" s="26"/>
      <c r="D182" s="44"/>
      <c r="E182" s="23"/>
      <c r="F182" s="24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  <c r="BL182" s="25"/>
      <c r="BM182" s="25"/>
      <c r="BN182" s="25"/>
      <c r="BO182" s="25"/>
      <c r="BP182" s="25"/>
      <c r="BQ182" s="25"/>
      <c r="BR182" s="25"/>
      <c r="BS182" s="25"/>
      <c r="BT182" s="25"/>
      <c r="BU182" s="25"/>
      <c r="BV182" s="25"/>
      <c r="BW182" s="25"/>
      <c r="BX182" s="25"/>
      <c r="BY182" s="25"/>
      <c r="BZ182" s="25"/>
      <c r="CA182" s="25"/>
      <c r="CB182" s="25"/>
      <c r="CC182" s="25"/>
      <c r="CD182" s="25"/>
      <c r="CE182" s="25"/>
      <c r="CF182" s="25"/>
      <c r="CG182" s="25"/>
      <c r="CH182" s="25"/>
      <c r="CI182" s="25"/>
      <c r="CJ182" s="25"/>
      <c r="CK182" s="25"/>
      <c r="CL182" s="25"/>
      <c r="CM182" s="25"/>
      <c r="CN182" s="25"/>
      <c r="CO182" s="25"/>
      <c r="CP182" s="25"/>
      <c r="CQ182" s="25"/>
      <c r="CR182" s="25"/>
      <c r="CS182" s="25"/>
      <c r="CT182" s="25"/>
      <c r="CU182" s="25"/>
      <c r="CV182" s="25"/>
      <c r="CW182" s="25"/>
      <c r="CX182" s="25"/>
      <c r="CY182" s="25"/>
      <c r="CZ182" s="25"/>
      <c r="DA182" s="25"/>
      <c r="DB182" s="25"/>
      <c r="DC182" s="25"/>
      <c r="DD182" s="25"/>
      <c r="DE182" s="25"/>
      <c r="DF182" s="25"/>
      <c r="DG182" s="25"/>
      <c r="DH182" s="25"/>
      <c r="DI182" s="25"/>
      <c r="DJ182" s="25"/>
      <c r="DK182" s="25"/>
      <c r="DL182" s="25"/>
      <c r="DM182" s="25"/>
      <c r="DN182" s="25"/>
      <c r="DO182" s="25"/>
      <c r="DP182" s="25"/>
      <c r="DQ182" s="25"/>
      <c r="DR182" s="25"/>
      <c r="DS182" s="25"/>
      <c r="DT182" s="25"/>
      <c r="DU182" s="25"/>
      <c r="DV182" s="25"/>
      <c r="DW182" s="25"/>
      <c r="DX182" s="25"/>
      <c r="DY182" s="25"/>
      <c r="DZ182" s="25"/>
      <c r="EA182" s="25"/>
      <c r="EB182" s="25"/>
      <c r="EC182" s="25"/>
      <c r="ED182" s="25"/>
      <c r="EE182" s="25"/>
      <c r="EF182" s="25"/>
      <c r="EG182" s="25"/>
      <c r="EH182" s="25"/>
      <c r="EI182" s="25"/>
      <c r="EJ182" s="25"/>
      <c r="EK182" s="25"/>
      <c r="EL182" s="25"/>
      <c r="EM182" s="25"/>
      <c r="EN182" s="25"/>
      <c r="EO182" s="25"/>
      <c r="EP182" s="25"/>
      <c r="EQ182" s="25"/>
      <c r="ER182" s="25"/>
      <c r="ES182" s="25"/>
      <c r="ET182" s="25"/>
      <c r="EU182" s="25"/>
      <c r="EV182" s="25"/>
      <c r="EW182" s="25"/>
      <c r="EX182" s="25"/>
      <c r="EY182" s="25"/>
      <c r="EZ182" s="25"/>
      <c r="FA182" s="25"/>
      <c r="FB182" s="25"/>
      <c r="FC182" s="25"/>
      <c r="FD182" s="25"/>
      <c r="FE182" s="25"/>
      <c r="FF182" s="25"/>
      <c r="FG182" s="25"/>
      <c r="FH182" s="25"/>
      <c r="FI182" s="25"/>
      <c r="FJ182" s="25"/>
      <c r="FK182" s="25"/>
      <c r="FL182" s="25"/>
      <c r="FM182" s="25"/>
      <c r="FN182" s="25"/>
      <c r="FO182" s="25"/>
      <c r="FP182" s="25"/>
      <c r="FQ182" s="25"/>
      <c r="FR182" s="25"/>
      <c r="FS182" s="25"/>
      <c r="FT182" s="25"/>
      <c r="FU182" s="25"/>
      <c r="FV182" s="25"/>
      <c r="FW182" s="25"/>
      <c r="FX182" s="25"/>
      <c r="FY182" s="25"/>
      <c r="FZ182" s="25"/>
      <c r="GA182" s="25"/>
      <c r="GB182" s="25"/>
      <c r="GC182" s="25"/>
      <c r="GD182" s="25"/>
      <c r="GE182" s="25"/>
      <c r="GF182" s="25"/>
      <c r="GG182" s="25"/>
      <c r="GH182" s="25"/>
      <c r="GI182" s="25"/>
      <c r="GJ182" s="25"/>
      <c r="GK182" s="25"/>
      <c r="GL182" s="25"/>
      <c r="GM182" s="25"/>
      <c r="GN182" s="25"/>
      <c r="GO182" s="25"/>
      <c r="GP182" s="25"/>
      <c r="GQ182" s="25"/>
      <c r="GR182" s="25"/>
      <c r="GS182" s="25"/>
      <c r="GT182" s="25"/>
      <c r="GU182" s="25"/>
      <c r="GV182" s="25"/>
      <c r="GW182" s="25"/>
      <c r="GX182" s="25"/>
      <c r="GY182" s="25"/>
      <c r="GZ182" s="25"/>
      <c r="HA182" s="25"/>
      <c r="HB182" s="25"/>
      <c r="HC182" s="25"/>
      <c r="HD182" s="25"/>
      <c r="HE182" s="25"/>
      <c r="HF182" s="25"/>
      <c r="HG182" s="25"/>
      <c r="HH182" s="25"/>
      <c r="HI182" s="25"/>
      <c r="HJ182" s="25"/>
      <c r="HK182" s="25"/>
      <c r="HL182" s="25"/>
      <c r="HM182" s="25"/>
      <c r="HN182" s="25"/>
      <c r="HO182" s="25"/>
      <c r="HP182" s="25"/>
      <c r="HQ182" s="25"/>
      <c r="HR182" s="25"/>
      <c r="HS182" s="25"/>
      <c r="HT182" s="25"/>
      <c r="HU182" s="25"/>
      <c r="HV182" s="25"/>
      <c r="HW182" s="25"/>
      <c r="HX182" s="25"/>
      <c r="HY182" s="25"/>
      <c r="HZ182" s="25"/>
      <c r="IA182" s="25"/>
      <c r="IB182" s="25"/>
      <c r="IC182" s="25"/>
      <c r="ID182" s="25"/>
      <c r="IE182" s="25"/>
      <c r="IF182" s="25"/>
      <c r="IG182" s="25"/>
      <c r="IH182" s="25"/>
      <c r="II182" s="25"/>
      <c r="IJ182" s="25"/>
      <c r="IK182" s="25"/>
      <c r="IL182" s="25"/>
      <c r="IM182" s="25"/>
      <c r="IN182" s="25"/>
      <c r="IO182" s="25"/>
      <c r="IP182" s="25"/>
      <c r="IQ182" s="25"/>
      <c r="IR182" s="25"/>
      <c r="IS182" s="25"/>
      <c r="IT182" s="25"/>
      <c r="IU182" s="25"/>
      <c r="IV182" s="25"/>
      <c r="IW182" s="25"/>
      <c r="IX182" s="25"/>
      <c r="IY182" s="25"/>
      <c r="IZ182" s="25"/>
      <c r="JA182" s="25"/>
      <c r="JB182" s="25"/>
      <c r="JC182" s="25"/>
      <c r="JD182" s="25"/>
      <c r="JE182" s="25"/>
      <c r="JF182" s="25"/>
      <c r="JG182" s="25"/>
      <c r="JH182" s="25"/>
      <c r="JI182" s="25"/>
      <c r="JJ182" s="25"/>
      <c r="JK182" s="25"/>
      <c r="JL182" s="25"/>
      <c r="JM182" s="25"/>
      <c r="JN182" s="25"/>
      <c r="JO182" s="25"/>
      <c r="JP182" s="25"/>
      <c r="JQ182" s="25"/>
      <c r="JR182" s="25"/>
      <c r="JS182" s="25"/>
      <c r="JT182" s="25"/>
      <c r="JU182" s="25"/>
      <c r="JV182" s="25"/>
      <c r="JW182" s="25"/>
      <c r="JX182" s="25"/>
      <c r="JY182" s="25"/>
      <c r="JZ182" s="25"/>
      <c r="KA182" s="25"/>
      <c r="KB182" s="25"/>
      <c r="KC182" s="25"/>
      <c r="KD182" s="25"/>
      <c r="KE182" s="25"/>
      <c r="KF182" s="25"/>
      <c r="KG182" s="25"/>
      <c r="KH182" s="25"/>
      <c r="KI182" s="25"/>
      <c r="KJ182" s="25"/>
      <c r="KK182" s="25"/>
      <c r="KL182" s="25"/>
      <c r="KM182" s="25"/>
      <c r="KN182" s="25"/>
      <c r="KO182" s="25"/>
      <c r="KP182" s="25"/>
      <c r="KQ182" s="25"/>
      <c r="KR182" s="25"/>
      <c r="KS182" s="25"/>
      <c r="KT182" s="25"/>
      <c r="KU182" s="25"/>
      <c r="KV182" s="25"/>
      <c r="KW182" s="25"/>
      <c r="KX182" s="25"/>
      <c r="KY182" s="25"/>
      <c r="KZ182" s="25"/>
      <c r="LA182" s="25"/>
      <c r="LB182" s="25"/>
      <c r="LC182" s="25"/>
      <c r="LD182" s="25"/>
      <c r="LE182" s="25"/>
      <c r="LF182" s="25"/>
      <c r="LG182" s="25"/>
      <c r="LH182" s="25"/>
      <c r="LI182" s="25"/>
      <c r="LJ182" s="25"/>
      <c r="LK182" s="25"/>
      <c r="LL182" s="25"/>
      <c r="LM182" s="25"/>
      <c r="LN182" s="25"/>
      <c r="LO182" s="25"/>
      <c r="LP182" s="25"/>
      <c r="LQ182" s="25"/>
      <c r="LR182" s="25"/>
      <c r="LS182" s="25"/>
      <c r="LT182" s="25"/>
      <c r="LU182" s="25"/>
      <c r="LV182" s="25"/>
      <c r="LW182" s="25"/>
      <c r="LX182" s="25"/>
      <c r="LY182" s="25"/>
      <c r="LZ182" s="25"/>
      <c r="MA182" s="25"/>
      <c r="MB182" s="25"/>
      <c r="MC182" s="25"/>
      <c r="MD182" s="25"/>
      <c r="ME182" s="25"/>
      <c r="MF182" s="25"/>
      <c r="MG182" s="25"/>
      <c r="MH182" s="25"/>
      <c r="MI182" s="25"/>
      <c r="MJ182" s="25"/>
      <c r="MK182" s="25"/>
      <c r="ML182" s="25"/>
      <c r="MM182" s="25"/>
      <c r="MN182" s="25"/>
      <c r="MO182" s="25"/>
      <c r="MP182" s="25"/>
      <c r="MQ182" s="25"/>
      <c r="MR182" s="25"/>
      <c r="MS182" s="25"/>
      <c r="MT182" s="25"/>
      <c r="MU182" s="25"/>
      <c r="MV182" s="25"/>
      <c r="MW182" s="25"/>
      <c r="MX182" s="25"/>
      <c r="MY182" s="25"/>
      <c r="MZ182" s="25"/>
      <c r="NA182" s="25"/>
      <c r="NB182" s="25"/>
      <c r="NC182" s="25"/>
      <c r="ND182" s="25"/>
      <c r="NE182" s="33"/>
      <c r="OG182" s="18">
        <v>1</v>
      </c>
      <c r="OH182" s="18">
        <v>43336</v>
      </c>
      <c r="OI182" s="18">
        <v>43388</v>
      </c>
      <c r="PJ182" s="20" t="s">
        <v>11</v>
      </c>
      <c r="PK182" s="20">
        <v>106</v>
      </c>
    </row>
    <row r="183" spans="1:427" ht="1.5" customHeight="1" x14ac:dyDescent="0.2">
      <c r="A183" s="28"/>
      <c r="B183" s="22"/>
      <c r="C183" s="22"/>
      <c r="D183" s="44"/>
      <c r="E183" s="23"/>
      <c r="F183" s="24" t="s">
        <v>10</v>
      </c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  <c r="BL183" s="25"/>
      <c r="BM183" s="25"/>
      <c r="BN183" s="25"/>
      <c r="BO183" s="25"/>
      <c r="BP183" s="25"/>
      <c r="BQ183" s="25"/>
      <c r="BR183" s="25"/>
      <c r="BS183" s="25"/>
      <c r="BT183" s="25"/>
      <c r="BU183" s="25"/>
      <c r="BV183" s="25"/>
      <c r="BW183" s="25"/>
      <c r="BX183" s="25"/>
      <c r="BY183" s="25"/>
      <c r="BZ183" s="25"/>
      <c r="CA183" s="25"/>
      <c r="CB183" s="25"/>
      <c r="CC183" s="25"/>
      <c r="CD183" s="25"/>
      <c r="CE183" s="25"/>
      <c r="CF183" s="25"/>
      <c r="CG183" s="25"/>
      <c r="CH183" s="25"/>
      <c r="CI183" s="25"/>
      <c r="CJ183" s="25"/>
      <c r="CK183" s="25"/>
      <c r="CL183" s="25"/>
      <c r="CM183" s="25"/>
      <c r="CN183" s="25"/>
      <c r="CO183" s="25"/>
      <c r="CP183" s="25"/>
      <c r="CQ183" s="25"/>
      <c r="CR183" s="25"/>
      <c r="CS183" s="25"/>
      <c r="CT183" s="25"/>
      <c r="CU183" s="25"/>
      <c r="CV183" s="25"/>
      <c r="CW183" s="25"/>
      <c r="CX183" s="25"/>
      <c r="CY183" s="25"/>
      <c r="CZ183" s="25"/>
      <c r="DA183" s="25"/>
      <c r="DB183" s="25"/>
      <c r="DC183" s="25"/>
      <c r="DD183" s="25"/>
      <c r="DE183" s="25"/>
      <c r="DF183" s="25"/>
      <c r="DG183" s="25"/>
      <c r="DH183" s="25"/>
      <c r="DI183" s="25"/>
      <c r="DJ183" s="25"/>
      <c r="DK183" s="25"/>
      <c r="DL183" s="25"/>
      <c r="DM183" s="25"/>
      <c r="DN183" s="25"/>
      <c r="DO183" s="25"/>
      <c r="DP183" s="25"/>
      <c r="DQ183" s="25"/>
      <c r="DR183" s="25"/>
      <c r="DS183" s="25"/>
      <c r="DT183" s="25"/>
      <c r="DU183" s="25"/>
      <c r="DV183" s="25"/>
      <c r="DW183" s="25"/>
      <c r="DX183" s="25"/>
      <c r="DY183" s="25"/>
      <c r="DZ183" s="25"/>
      <c r="EA183" s="25"/>
      <c r="EB183" s="25"/>
      <c r="EC183" s="25"/>
      <c r="ED183" s="25"/>
      <c r="EE183" s="25"/>
      <c r="EF183" s="25"/>
      <c r="EG183" s="25"/>
      <c r="EH183" s="25"/>
      <c r="EI183" s="25"/>
      <c r="EJ183" s="25"/>
      <c r="EK183" s="25"/>
      <c r="EL183" s="25"/>
      <c r="EM183" s="25"/>
      <c r="EN183" s="25"/>
      <c r="EO183" s="25"/>
      <c r="EP183" s="25"/>
      <c r="EQ183" s="25"/>
      <c r="ER183" s="25"/>
      <c r="ES183" s="25"/>
      <c r="ET183" s="25"/>
      <c r="EU183" s="25"/>
      <c r="EV183" s="25"/>
      <c r="EW183" s="25"/>
      <c r="EX183" s="25"/>
      <c r="EY183" s="25"/>
      <c r="EZ183" s="25"/>
      <c r="FA183" s="25"/>
      <c r="FB183" s="25"/>
      <c r="FC183" s="25"/>
      <c r="FD183" s="25"/>
      <c r="FE183" s="25"/>
      <c r="FF183" s="25"/>
      <c r="FG183" s="25"/>
      <c r="FH183" s="25"/>
      <c r="FI183" s="25"/>
      <c r="FJ183" s="25"/>
      <c r="FK183" s="25"/>
      <c r="FL183" s="25"/>
      <c r="FM183" s="25"/>
      <c r="FN183" s="25"/>
      <c r="FO183" s="25"/>
      <c r="FP183" s="25"/>
      <c r="FQ183" s="25"/>
      <c r="FR183" s="25"/>
      <c r="FS183" s="25"/>
      <c r="FT183" s="25"/>
      <c r="FU183" s="25"/>
      <c r="FV183" s="25"/>
      <c r="FW183" s="25"/>
      <c r="FX183" s="25"/>
      <c r="FY183" s="25"/>
      <c r="FZ183" s="25"/>
      <c r="GA183" s="25"/>
      <c r="GB183" s="25"/>
      <c r="GC183" s="25"/>
      <c r="GD183" s="25"/>
      <c r="GE183" s="25"/>
      <c r="GF183" s="25"/>
      <c r="GG183" s="25"/>
      <c r="GH183" s="25"/>
      <c r="GI183" s="25"/>
      <c r="GJ183" s="25"/>
      <c r="GK183" s="25"/>
      <c r="GL183" s="25"/>
      <c r="GM183" s="25"/>
      <c r="GN183" s="25"/>
      <c r="GO183" s="25"/>
      <c r="GP183" s="25"/>
      <c r="GQ183" s="25"/>
      <c r="GR183" s="25"/>
      <c r="GS183" s="25"/>
      <c r="GT183" s="25"/>
      <c r="GU183" s="25"/>
      <c r="GV183" s="25"/>
      <c r="GW183" s="25"/>
      <c r="GX183" s="25"/>
      <c r="GY183" s="25"/>
      <c r="GZ183" s="25"/>
      <c r="HA183" s="25"/>
      <c r="HB183" s="25"/>
      <c r="HC183" s="25"/>
      <c r="HD183" s="25"/>
      <c r="HE183" s="25"/>
      <c r="HF183" s="25"/>
      <c r="HG183" s="25"/>
      <c r="HH183" s="25"/>
      <c r="HI183" s="25"/>
      <c r="HJ183" s="25"/>
      <c r="HK183" s="25"/>
      <c r="HL183" s="25"/>
      <c r="HM183" s="25"/>
      <c r="HN183" s="25"/>
      <c r="HO183" s="25"/>
      <c r="HP183" s="25"/>
      <c r="HQ183" s="25"/>
      <c r="HR183" s="25"/>
      <c r="HS183" s="25"/>
      <c r="HT183" s="25"/>
      <c r="HU183" s="25"/>
      <c r="HV183" s="25"/>
      <c r="HW183" s="25"/>
      <c r="HX183" s="25"/>
      <c r="HY183" s="25"/>
      <c r="HZ183" s="25"/>
      <c r="IA183" s="25"/>
      <c r="IB183" s="25"/>
      <c r="IC183" s="25"/>
      <c r="ID183" s="25"/>
      <c r="IE183" s="25"/>
      <c r="IF183" s="25"/>
      <c r="IG183" s="25"/>
      <c r="IH183" s="25"/>
      <c r="II183" s="25"/>
      <c r="IJ183" s="25"/>
      <c r="IK183" s="25"/>
      <c r="IL183" s="25"/>
      <c r="IM183" s="25"/>
      <c r="IN183" s="25"/>
      <c r="IO183" s="25"/>
      <c r="IP183" s="25"/>
      <c r="IQ183" s="25"/>
      <c r="IR183" s="25"/>
      <c r="IS183" s="25"/>
      <c r="IT183" s="25"/>
      <c r="IU183" s="25"/>
      <c r="IV183" s="25"/>
      <c r="IW183" s="25"/>
      <c r="IX183" s="25"/>
      <c r="IY183" s="25"/>
      <c r="IZ183" s="25"/>
      <c r="JA183" s="25"/>
      <c r="JB183" s="25"/>
      <c r="JC183" s="25"/>
      <c r="JD183" s="25"/>
      <c r="JE183" s="25"/>
      <c r="JF183" s="25"/>
      <c r="JG183" s="25"/>
      <c r="JH183" s="25"/>
      <c r="JI183" s="25"/>
      <c r="JJ183" s="25"/>
      <c r="JK183" s="25"/>
      <c r="JL183" s="25"/>
      <c r="JM183" s="25"/>
      <c r="JN183" s="25"/>
      <c r="JO183" s="25"/>
      <c r="JP183" s="25"/>
      <c r="JQ183" s="25"/>
      <c r="JR183" s="25"/>
      <c r="JS183" s="25"/>
      <c r="JT183" s="25"/>
      <c r="JU183" s="25"/>
      <c r="JV183" s="25"/>
      <c r="JW183" s="25"/>
      <c r="JX183" s="25"/>
      <c r="JY183" s="25"/>
      <c r="JZ183" s="25"/>
      <c r="KA183" s="25"/>
      <c r="KB183" s="25"/>
      <c r="KC183" s="25"/>
      <c r="KD183" s="25"/>
      <c r="KE183" s="25"/>
      <c r="KF183" s="25"/>
      <c r="KG183" s="25"/>
      <c r="KH183" s="25"/>
      <c r="KI183" s="25"/>
      <c r="KJ183" s="25"/>
      <c r="KK183" s="25"/>
      <c r="KL183" s="25"/>
      <c r="KM183" s="25"/>
      <c r="KN183" s="25"/>
      <c r="KO183" s="25"/>
      <c r="KP183" s="25"/>
      <c r="KQ183" s="25"/>
      <c r="KR183" s="25"/>
      <c r="KS183" s="25"/>
      <c r="KT183" s="25"/>
      <c r="KU183" s="25"/>
      <c r="KV183" s="25"/>
      <c r="KW183" s="25"/>
      <c r="KX183" s="25"/>
      <c r="KY183" s="25"/>
      <c r="KZ183" s="25"/>
      <c r="LA183" s="25"/>
      <c r="LB183" s="25"/>
      <c r="LC183" s="25"/>
      <c r="LD183" s="25"/>
      <c r="LE183" s="25"/>
      <c r="LF183" s="25"/>
      <c r="LG183" s="25"/>
      <c r="LH183" s="25"/>
      <c r="LI183" s="25"/>
      <c r="LJ183" s="25"/>
      <c r="LK183" s="25"/>
      <c r="LL183" s="25"/>
      <c r="LM183" s="25"/>
      <c r="LN183" s="25"/>
      <c r="LO183" s="25"/>
      <c r="LP183" s="25"/>
      <c r="LQ183" s="25"/>
      <c r="LR183" s="25"/>
      <c r="LS183" s="25"/>
      <c r="LT183" s="25"/>
      <c r="LU183" s="25"/>
      <c r="LV183" s="25"/>
      <c r="LW183" s="25"/>
      <c r="LX183" s="25"/>
      <c r="LY183" s="25"/>
      <c r="LZ183" s="25"/>
      <c r="MA183" s="25"/>
      <c r="MB183" s="25"/>
      <c r="MC183" s="25"/>
      <c r="MD183" s="25"/>
      <c r="ME183" s="25"/>
      <c r="MF183" s="25"/>
      <c r="MG183" s="25"/>
      <c r="MH183" s="25"/>
      <c r="MI183" s="25"/>
      <c r="MJ183" s="25"/>
      <c r="MK183" s="25"/>
      <c r="ML183" s="25"/>
      <c r="MM183" s="25"/>
      <c r="MN183" s="25"/>
      <c r="MO183" s="25"/>
      <c r="MP183" s="25"/>
      <c r="MQ183" s="25"/>
      <c r="MR183" s="25"/>
      <c r="MS183" s="25"/>
      <c r="MT183" s="25"/>
      <c r="MU183" s="25"/>
      <c r="MV183" s="25"/>
      <c r="MW183" s="25"/>
      <c r="MX183" s="25"/>
      <c r="MY183" s="25"/>
      <c r="MZ183" s="25"/>
      <c r="NA183" s="25"/>
      <c r="NB183" s="25"/>
      <c r="NC183" s="25"/>
      <c r="ND183" s="25"/>
      <c r="NE183" s="33"/>
    </row>
  </sheetData>
  <sheetProtection autoFilter="0"/>
  <autoFilter ref="A10:E183"/>
  <mergeCells count="369">
    <mergeCell ref="J9:J10"/>
    <mergeCell ref="K9:K10"/>
    <mergeCell ref="L9:L10"/>
    <mergeCell ref="M9:M10"/>
    <mergeCell ref="N9:N10"/>
    <mergeCell ref="O9:O10"/>
    <mergeCell ref="G9:G10"/>
    <mergeCell ref="H9:H10"/>
    <mergeCell ref="I9:I10"/>
    <mergeCell ref="V9:V10"/>
    <mergeCell ref="W9:W10"/>
    <mergeCell ref="X9:X10"/>
    <mergeCell ref="Y9:Y10"/>
    <mergeCell ref="Z9:Z10"/>
    <mergeCell ref="AA9:AA10"/>
    <mergeCell ref="P9:P10"/>
    <mergeCell ref="Q9:Q10"/>
    <mergeCell ref="R9:R10"/>
    <mergeCell ref="S9:S10"/>
    <mergeCell ref="T9:T10"/>
    <mergeCell ref="U9:U10"/>
    <mergeCell ref="AH9:AH10"/>
    <mergeCell ref="AI9:AI10"/>
    <mergeCell ref="AJ9:AJ10"/>
    <mergeCell ref="AK9:AK10"/>
    <mergeCell ref="AL9:AL10"/>
    <mergeCell ref="AM9:AM10"/>
    <mergeCell ref="AB9:AB10"/>
    <mergeCell ref="AC9:AC10"/>
    <mergeCell ref="AD9:AD10"/>
    <mergeCell ref="AE9:AE10"/>
    <mergeCell ref="AF9:AF10"/>
    <mergeCell ref="AG9:AG10"/>
    <mergeCell ref="AT9:AT10"/>
    <mergeCell ref="AU9:AU10"/>
    <mergeCell ref="AV9:AV10"/>
    <mergeCell ref="AW9:AW10"/>
    <mergeCell ref="AX9:AX10"/>
    <mergeCell ref="AY9:AY10"/>
    <mergeCell ref="AN9:AN10"/>
    <mergeCell ref="AO9:AO10"/>
    <mergeCell ref="AP9:AP10"/>
    <mergeCell ref="AQ9:AQ10"/>
    <mergeCell ref="AR9:AR10"/>
    <mergeCell ref="AS9:AS10"/>
    <mergeCell ref="BF9:BF10"/>
    <mergeCell ref="BG9:BG10"/>
    <mergeCell ref="BH9:BH10"/>
    <mergeCell ref="BI9:BI10"/>
    <mergeCell ref="BJ9:BJ10"/>
    <mergeCell ref="BK9:BK10"/>
    <mergeCell ref="AZ9:AZ10"/>
    <mergeCell ref="BA9:BA10"/>
    <mergeCell ref="BB9:BB10"/>
    <mergeCell ref="BC9:BC10"/>
    <mergeCell ref="BD9:BD10"/>
    <mergeCell ref="BE9:BE10"/>
    <mergeCell ref="BR9:BR10"/>
    <mergeCell ref="BS9:BS10"/>
    <mergeCell ref="BT9:BT10"/>
    <mergeCell ref="BU9:BU10"/>
    <mergeCell ref="BV9:BV10"/>
    <mergeCell ref="BW9:BW10"/>
    <mergeCell ref="BL9:BL10"/>
    <mergeCell ref="BM9:BM10"/>
    <mergeCell ref="BN9:BN10"/>
    <mergeCell ref="BO9:BO10"/>
    <mergeCell ref="BP9:BP10"/>
    <mergeCell ref="BQ9:BQ10"/>
    <mergeCell ref="CD9:CD10"/>
    <mergeCell ref="CE9:CE10"/>
    <mergeCell ref="CF9:CF10"/>
    <mergeCell ref="CG9:CG10"/>
    <mergeCell ref="CH9:CH10"/>
    <mergeCell ref="CI9:CI10"/>
    <mergeCell ref="BX9:BX10"/>
    <mergeCell ref="BY9:BY10"/>
    <mergeCell ref="BZ9:BZ10"/>
    <mergeCell ref="CA9:CA10"/>
    <mergeCell ref="CB9:CB10"/>
    <mergeCell ref="CC9:CC10"/>
    <mergeCell ref="CP9:CP10"/>
    <mergeCell ref="CQ9:CQ10"/>
    <mergeCell ref="CR9:CR10"/>
    <mergeCell ref="CS9:CS10"/>
    <mergeCell ref="CT9:CT10"/>
    <mergeCell ref="CU9:CU10"/>
    <mergeCell ref="CJ9:CJ10"/>
    <mergeCell ref="CK9:CK10"/>
    <mergeCell ref="CL9:CL10"/>
    <mergeCell ref="CM9:CM10"/>
    <mergeCell ref="CN9:CN10"/>
    <mergeCell ref="CO9:CO10"/>
    <mergeCell ref="DB9:DB10"/>
    <mergeCell ref="DC9:DC10"/>
    <mergeCell ref="DD9:DD10"/>
    <mergeCell ref="DE9:DE10"/>
    <mergeCell ref="DF9:DF10"/>
    <mergeCell ref="DG9:DG10"/>
    <mergeCell ref="CV9:CV10"/>
    <mergeCell ref="CW9:CW10"/>
    <mergeCell ref="CX9:CX10"/>
    <mergeCell ref="CY9:CY10"/>
    <mergeCell ref="CZ9:CZ10"/>
    <mergeCell ref="DA9:DA10"/>
    <mergeCell ref="DN9:DN10"/>
    <mergeCell ref="DO9:DO10"/>
    <mergeCell ref="DP9:DP10"/>
    <mergeCell ref="DQ9:DQ10"/>
    <mergeCell ref="DR9:DR10"/>
    <mergeCell ref="DS9:DS10"/>
    <mergeCell ref="DH9:DH10"/>
    <mergeCell ref="DI9:DI10"/>
    <mergeCell ref="DJ9:DJ10"/>
    <mergeCell ref="DK9:DK10"/>
    <mergeCell ref="DL9:DL10"/>
    <mergeCell ref="DM9:DM10"/>
    <mergeCell ref="DZ9:DZ10"/>
    <mergeCell ref="EA9:EA10"/>
    <mergeCell ref="EB9:EB10"/>
    <mergeCell ref="EC9:EC10"/>
    <mergeCell ref="ED9:ED10"/>
    <mergeCell ref="EE9:EE10"/>
    <mergeCell ref="DT9:DT10"/>
    <mergeCell ref="DU9:DU10"/>
    <mergeCell ref="DV9:DV10"/>
    <mergeCell ref="DW9:DW10"/>
    <mergeCell ref="DX9:DX10"/>
    <mergeCell ref="DY9:DY10"/>
    <mergeCell ref="EL9:EL10"/>
    <mergeCell ref="EM9:EM10"/>
    <mergeCell ref="EN9:EN10"/>
    <mergeCell ref="EO9:EO10"/>
    <mergeCell ref="EP9:EP10"/>
    <mergeCell ref="EQ9:EQ10"/>
    <mergeCell ref="EF9:EF10"/>
    <mergeCell ref="EG9:EG10"/>
    <mergeCell ref="EH9:EH10"/>
    <mergeCell ref="EI9:EI10"/>
    <mergeCell ref="EJ9:EJ10"/>
    <mergeCell ref="EK9:EK10"/>
    <mergeCell ref="EX9:EX10"/>
    <mergeCell ref="EY9:EY10"/>
    <mergeCell ref="EZ9:EZ10"/>
    <mergeCell ref="FA9:FA10"/>
    <mergeCell ref="FB9:FB10"/>
    <mergeCell ref="FC9:FC10"/>
    <mergeCell ref="ER9:ER10"/>
    <mergeCell ref="ES9:ES10"/>
    <mergeCell ref="ET9:ET10"/>
    <mergeCell ref="EU9:EU10"/>
    <mergeCell ref="EV9:EV10"/>
    <mergeCell ref="EW9:EW10"/>
    <mergeCell ref="FJ9:FJ10"/>
    <mergeCell ref="FK9:FK10"/>
    <mergeCell ref="FL9:FL10"/>
    <mergeCell ref="FM9:FM10"/>
    <mergeCell ref="FN9:FN10"/>
    <mergeCell ref="FO9:FO10"/>
    <mergeCell ref="FD9:FD10"/>
    <mergeCell ref="FE9:FE10"/>
    <mergeCell ref="FF9:FF10"/>
    <mergeCell ref="FG9:FG10"/>
    <mergeCell ref="FH9:FH10"/>
    <mergeCell ref="FI9:FI10"/>
    <mergeCell ref="FV9:FV10"/>
    <mergeCell ref="FW9:FW10"/>
    <mergeCell ref="FX9:FX10"/>
    <mergeCell ref="FY9:FY10"/>
    <mergeCell ref="FZ9:FZ10"/>
    <mergeCell ref="GA9:GA10"/>
    <mergeCell ref="FP9:FP10"/>
    <mergeCell ref="FQ9:FQ10"/>
    <mergeCell ref="FR9:FR10"/>
    <mergeCell ref="FS9:FS10"/>
    <mergeCell ref="FT9:FT10"/>
    <mergeCell ref="FU9:FU10"/>
    <mergeCell ref="GH9:GH10"/>
    <mergeCell ref="GI9:GI10"/>
    <mergeCell ref="GJ9:GJ10"/>
    <mergeCell ref="GK9:GK10"/>
    <mergeCell ref="GL9:GL10"/>
    <mergeCell ref="GM9:GM10"/>
    <mergeCell ref="GB9:GB10"/>
    <mergeCell ref="GC9:GC10"/>
    <mergeCell ref="GD9:GD10"/>
    <mergeCell ref="GE9:GE10"/>
    <mergeCell ref="GF9:GF10"/>
    <mergeCell ref="GG9:GG10"/>
    <mergeCell ref="GT9:GT10"/>
    <mergeCell ref="GU9:GU10"/>
    <mergeCell ref="GV9:GV10"/>
    <mergeCell ref="GW9:GW10"/>
    <mergeCell ref="GX9:GX10"/>
    <mergeCell ref="GY9:GY10"/>
    <mergeCell ref="GN9:GN10"/>
    <mergeCell ref="GO9:GO10"/>
    <mergeCell ref="GP9:GP10"/>
    <mergeCell ref="GQ9:GQ10"/>
    <mergeCell ref="GR9:GR10"/>
    <mergeCell ref="GS9:GS10"/>
    <mergeCell ref="HF9:HF10"/>
    <mergeCell ref="HG9:HG10"/>
    <mergeCell ref="HH9:HH10"/>
    <mergeCell ref="HI9:HI10"/>
    <mergeCell ref="HJ9:HJ10"/>
    <mergeCell ref="HK9:HK10"/>
    <mergeCell ref="GZ9:GZ10"/>
    <mergeCell ref="HA9:HA10"/>
    <mergeCell ref="HB9:HB10"/>
    <mergeCell ref="HC9:HC10"/>
    <mergeCell ref="HD9:HD10"/>
    <mergeCell ref="HE9:HE10"/>
    <mergeCell ref="HR9:HR10"/>
    <mergeCell ref="HS9:HS10"/>
    <mergeCell ref="HT9:HT10"/>
    <mergeCell ref="HU9:HU10"/>
    <mergeCell ref="HV9:HV10"/>
    <mergeCell ref="HW9:HW10"/>
    <mergeCell ref="HL9:HL10"/>
    <mergeCell ref="HM9:HM10"/>
    <mergeCell ref="HN9:HN10"/>
    <mergeCell ref="HO9:HO10"/>
    <mergeCell ref="HP9:HP10"/>
    <mergeCell ref="HQ9:HQ10"/>
    <mergeCell ref="ID9:ID10"/>
    <mergeCell ref="IE9:IE10"/>
    <mergeCell ref="IF9:IF10"/>
    <mergeCell ref="IG9:IG10"/>
    <mergeCell ref="IH9:IH10"/>
    <mergeCell ref="II9:II10"/>
    <mergeCell ref="HX9:HX10"/>
    <mergeCell ref="HY9:HY10"/>
    <mergeCell ref="HZ9:HZ10"/>
    <mergeCell ref="IA9:IA10"/>
    <mergeCell ref="IB9:IB10"/>
    <mergeCell ref="IC9:IC10"/>
    <mergeCell ref="IP9:IP10"/>
    <mergeCell ref="IQ9:IQ10"/>
    <mergeCell ref="IR9:IR10"/>
    <mergeCell ref="IS9:IS10"/>
    <mergeCell ref="IT9:IT10"/>
    <mergeCell ref="IU9:IU10"/>
    <mergeCell ref="IJ9:IJ10"/>
    <mergeCell ref="IK9:IK10"/>
    <mergeCell ref="IL9:IL10"/>
    <mergeCell ref="IM9:IM10"/>
    <mergeCell ref="IN9:IN10"/>
    <mergeCell ref="IO9:IO10"/>
    <mergeCell ref="JB9:JB10"/>
    <mergeCell ref="JC9:JC10"/>
    <mergeCell ref="JD9:JD10"/>
    <mergeCell ref="JE9:JE10"/>
    <mergeCell ref="JF9:JF10"/>
    <mergeCell ref="JG9:JG10"/>
    <mergeCell ref="IV9:IV10"/>
    <mergeCell ref="IW9:IW10"/>
    <mergeCell ref="IX9:IX10"/>
    <mergeCell ref="IY9:IY10"/>
    <mergeCell ref="IZ9:IZ10"/>
    <mergeCell ref="JA9:JA10"/>
    <mergeCell ref="JN9:JN10"/>
    <mergeCell ref="JO9:JO10"/>
    <mergeCell ref="JP9:JP10"/>
    <mergeCell ref="JQ9:JQ10"/>
    <mergeCell ref="JR9:JR10"/>
    <mergeCell ref="JS9:JS10"/>
    <mergeCell ref="JH9:JH10"/>
    <mergeCell ref="JI9:JI10"/>
    <mergeCell ref="JJ9:JJ10"/>
    <mergeCell ref="JK9:JK10"/>
    <mergeCell ref="JL9:JL10"/>
    <mergeCell ref="JM9:JM10"/>
    <mergeCell ref="JZ9:JZ10"/>
    <mergeCell ref="KA9:KA10"/>
    <mergeCell ref="KB9:KB10"/>
    <mergeCell ref="KC9:KC10"/>
    <mergeCell ref="KD9:KD10"/>
    <mergeCell ref="KE9:KE10"/>
    <mergeCell ref="JT9:JT10"/>
    <mergeCell ref="JU9:JU10"/>
    <mergeCell ref="JV9:JV10"/>
    <mergeCell ref="JW9:JW10"/>
    <mergeCell ref="JX9:JX10"/>
    <mergeCell ref="JY9:JY10"/>
    <mergeCell ref="KL9:KL10"/>
    <mergeCell ref="KM9:KM10"/>
    <mergeCell ref="KN9:KN10"/>
    <mergeCell ref="KO9:KO10"/>
    <mergeCell ref="KP9:KP10"/>
    <mergeCell ref="KQ9:KQ10"/>
    <mergeCell ref="KF9:KF10"/>
    <mergeCell ref="KG9:KG10"/>
    <mergeCell ref="KH9:KH10"/>
    <mergeCell ref="KI9:KI10"/>
    <mergeCell ref="KJ9:KJ10"/>
    <mergeCell ref="KK9:KK10"/>
    <mergeCell ref="KX9:KX10"/>
    <mergeCell ref="KY9:KY10"/>
    <mergeCell ref="KZ9:KZ10"/>
    <mergeCell ref="LA9:LA10"/>
    <mergeCell ref="LB9:LB10"/>
    <mergeCell ref="LC9:LC10"/>
    <mergeCell ref="KR9:KR10"/>
    <mergeCell ref="KS9:KS10"/>
    <mergeCell ref="KT9:KT10"/>
    <mergeCell ref="KU9:KU10"/>
    <mergeCell ref="KV9:KV10"/>
    <mergeCell ref="KW9:KW10"/>
    <mergeCell ref="LJ9:LJ10"/>
    <mergeCell ref="LK9:LK10"/>
    <mergeCell ref="LL9:LL10"/>
    <mergeCell ref="LM9:LM10"/>
    <mergeCell ref="LN9:LN10"/>
    <mergeCell ref="LO9:LO10"/>
    <mergeCell ref="LD9:LD10"/>
    <mergeCell ref="LE9:LE10"/>
    <mergeCell ref="LF9:LF10"/>
    <mergeCell ref="LG9:LG10"/>
    <mergeCell ref="LH9:LH10"/>
    <mergeCell ref="LI9:LI10"/>
    <mergeCell ref="LV9:LV10"/>
    <mergeCell ref="LW9:LW10"/>
    <mergeCell ref="LX9:LX10"/>
    <mergeCell ref="LY9:LY10"/>
    <mergeCell ref="LZ9:LZ10"/>
    <mergeCell ref="MA9:MA10"/>
    <mergeCell ref="LP9:LP10"/>
    <mergeCell ref="LQ9:LQ10"/>
    <mergeCell ref="LR9:LR10"/>
    <mergeCell ref="LS9:LS10"/>
    <mergeCell ref="LT9:LT10"/>
    <mergeCell ref="LU9:LU10"/>
    <mergeCell ref="MH9:MH10"/>
    <mergeCell ref="MI9:MI10"/>
    <mergeCell ref="MJ9:MJ10"/>
    <mergeCell ref="MK9:MK10"/>
    <mergeCell ref="ML9:ML10"/>
    <mergeCell ref="MM9:MM10"/>
    <mergeCell ref="MB9:MB10"/>
    <mergeCell ref="MC9:MC10"/>
    <mergeCell ref="MD9:MD10"/>
    <mergeCell ref="ME9:ME10"/>
    <mergeCell ref="MF9:MF10"/>
    <mergeCell ref="MG9:MG10"/>
    <mergeCell ref="NF9:NF10"/>
    <mergeCell ref="NG9:NG10"/>
    <mergeCell ref="NH9:NH10"/>
    <mergeCell ref="NI9:NI10"/>
    <mergeCell ref="NJ9:NJ10"/>
    <mergeCell ref="A7:E9"/>
    <mergeCell ref="MZ9:MZ10"/>
    <mergeCell ref="NA9:NA10"/>
    <mergeCell ref="NB9:NB10"/>
    <mergeCell ref="NC9:NC10"/>
    <mergeCell ref="ND9:ND10"/>
    <mergeCell ref="NE9:NE10"/>
    <mergeCell ref="MT9:MT10"/>
    <mergeCell ref="MU9:MU10"/>
    <mergeCell ref="MV9:MV10"/>
    <mergeCell ref="MW9:MW10"/>
    <mergeCell ref="MX9:MX10"/>
    <mergeCell ref="MY9:MY10"/>
    <mergeCell ref="MN9:MN10"/>
    <mergeCell ref="MO9:MO10"/>
    <mergeCell ref="MP9:MP10"/>
    <mergeCell ref="MQ9:MQ10"/>
    <mergeCell ref="MR9:MR10"/>
    <mergeCell ref="MS9:MS10"/>
  </mergeCells>
  <conditionalFormatting sqref="G8:NJ9 G10:J10 L10:NJ10">
    <cfRule type="expression" dxfId="4037" priority="8218">
      <formula>IF(G$4=7,1,0)</formula>
    </cfRule>
  </conditionalFormatting>
  <conditionalFormatting sqref="G7:NJ7">
    <cfRule type="expression" dxfId="4036" priority="8212">
      <formula>ISODD(MONTH(G9))</formula>
    </cfRule>
    <cfRule type="expression" dxfId="4035" priority="8214">
      <formula>ISEVEN(MONTH(G9))</formula>
    </cfRule>
    <cfRule type="expression" dxfId="4034" priority="8215">
      <formula>IF(MONTH(G9)&lt;&gt;MONTH(H9),1,0)</formula>
    </cfRule>
    <cfRule type="expression" dxfId="4033" priority="8216">
      <formula>IF(MONTH(F9)&lt;&gt;MONTH(G9),1,0)</formula>
    </cfRule>
  </conditionalFormatting>
  <conditionalFormatting sqref="G8:NJ8">
    <cfRule type="expression" dxfId="4032" priority="8213">
      <formula>ISODD(TRUNC((G9-DATE(YEAR(G9+3-MOD(G9-2,7)),1,MOD(G9-2,7)-9))/7))</formula>
    </cfRule>
    <cfRule type="expression" dxfId="4031" priority="8217">
      <formula>ISEVEN(TRUNC((G9-DATE(YEAR(G9+3-MOD(G9-2,7)),1,MOD(G9-2,7)-9))/7))</formula>
    </cfRule>
    <cfRule type="expression" dxfId="4030" priority="8219">
      <formula>IF(G$4=1,1,0)</formula>
    </cfRule>
  </conditionalFormatting>
  <conditionalFormatting sqref="G180:NJ183 G11:NJ12 G13:M13 S13:NJ13">
    <cfRule type="beginsWith" dxfId="4029" priority="8168" operator="beginsWith" text="M">
      <formula>LEFT(G11,LEN("M"))="M"</formula>
    </cfRule>
  </conditionalFormatting>
  <conditionalFormatting sqref="G15:M17 G39:H41 G59:NJ61 G63:NJ65 G75:NJ77 G79:NJ81 G83:NJ85 G87:NJ89 G91:NJ93 G95:NJ97 G99:NJ101 G103:NJ105 G107:NJ109 G111:NJ113 G115:NJ117 G119:NJ121 G123:NJ183 G50:N52 G43:H45 G31:M32 G19:M20 G28:M29 G35:H37 G53:NJ53 G55:NJ57 O51:NJ52 G71:NJ73 G67:NJ69 G47:H49 G11:NJ12 G23:H25 L23:M25 G27:H27 L27:M27 G21:H21 L21:M21 L47:NJ49 L35:M37 G33:H33 L33:M33 L43:NJ45 L40:NJ41 L39:M39 S39:NJ39 S35:NJ37 S23:NJ25 G13:M13 S13:NJ13 S27:NJ29 S19:NJ21 S31:NJ33 S15:NJ17 N41:R85">
    <cfRule type="expression" dxfId="4028" priority="8085">
      <formula>$F11="-"</formula>
    </cfRule>
    <cfRule type="expression" dxfId="4027" priority="8087">
      <formula>G$3=$PQ11</formula>
    </cfRule>
    <cfRule type="expression" dxfId="4026" priority="8089">
      <formula>G$3=$PO11</formula>
    </cfRule>
    <cfRule type="expression" dxfId="4025" priority="8091">
      <formula>G$3=$PM11</formula>
    </cfRule>
    <cfRule type="expression" dxfId="4024" priority="8093">
      <formula>IF(AND(RIGHT(G11,1)=".",LEFT(G11,2)&lt;&gt;"T1",LEFT(G11,2)&lt;&gt;"T2",LEFT(G11,2)&lt;&gt;"T3",LEFT(G11,2)&lt;&gt;"T4",LEFT(G11,2)&lt;&gt;"T5",LEFT(G11,2)&lt;&gt;"T6",LEFT(G11,2)&lt;&gt;"T7",LEFT(G11,2)&lt;&gt;"T8",LEFT(G11,2)&lt;&gt;"T9"),1,0)</formula>
    </cfRule>
    <cfRule type="expression" dxfId="4023" priority="8095">
      <formula>IF($C11&gt;0,IF(G$4=7,1,0),0)</formula>
    </cfRule>
    <cfRule type="expression" dxfId="4022" priority="8097">
      <formula>$C11&gt;0</formula>
    </cfRule>
    <cfRule type="expression" dxfId="4021" priority="8099">
      <formula>IF(OR(G11="T1.",G11="T2.",G11="T3.",G11="T4.",G11="T5.",G11="T6.",G11="T7.",G11="T8.",G11="T9."),1,0)</formula>
    </cfRule>
    <cfRule type="endsWith" dxfId="4020" priority="8101" operator="endsWith" text="_A">
      <formula>RIGHT(G11,LEN("_A"))="_A"</formula>
    </cfRule>
    <cfRule type="endsWith" dxfId="4019" priority="8103" operator="endsWith" text="_e">
      <formula>RIGHT(G11,LEN("_e"))="_e"</formula>
    </cfRule>
    <cfRule type="beginsWith" dxfId="4018" priority="8105" operator="beginsWith" text="ME-TL-AS">
      <formula>LEFT(G11,LEN("ME-TL-AS"))="ME-TL-AS"</formula>
    </cfRule>
    <cfRule type="beginsWith" dxfId="4017" priority="8107" operator="beginsWith" text="T-AS">
      <formula>LEFT(G11,LEN("T-AS"))="T-AS"</formula>
    </cfRule>
    <cfRule type="beginsWith" dxfId="4016" priority="8109" operator="beginsWith" text="M-KL">
      <formula>LEFT(G11,LEN("M-KL"))="M-KL"</formula>
    </cfRule>
    <cfRule type="beginsWith" dxfId="4015" priority="8111" operator="beginsWith" text="Ss">
      <formula>LEFT(G11,LEN("Ss"))="Ss"</formula>
    </cfRule>
    <cfRule type="beginsWith" dxfId="4014" priority="8113" operator="beginsWith" text="AC">
      <formula>LEFT(G11,LEN("AC"))="AC"</formula>
    </cfRule>
    <cfRule type="beginsWith" dxfId="4013" priority="8115" operator="beginsWith" text="TT">
      <formula>LEFT(G11,LEN("TT"))="TT"</formula>
    </cfRule>
    <cfRule type="beginsWith" dxfId="4012" priority="8117" operator="beginsWith" text="S">
      <formula>LEFT(G11,LEN("S"))="S"</formula>
    </cfRule>
    <cfRule type="beginsWith" dxfId="4011" priority="8119" operator="beginsWith" text="PK">
      <formula>LEFT(G11,LEN("PK"))="PK"</formula>
    </cfRule>
    <cfRule type="beginsWith" dxfId="4010" priority="8121" operator="beginsWith" text="W">
      <formula>LEFT(G11,LEN("W"))="W"</formula>
    </cfRule>
    <cfRule type="beginsWith" dxfId="4009" priority="8123" operator="beginsWith" text="Id">
      <formula>LEFT(G11,LEN("Id"))="Id"</formula>
    </cfRule>
    <cfRule type="beginsWith" dxfId="4008" priority="8125" operator="beginsWith" text="K">
      <formula>LEFT(G11,LEN("K"))="K"</formula>
    </cfRule>
    <cfRule type="beginsWith" dxfId="4007" priority="8127" operator="beginsWith" text="Is-ME">
      <formula>LEFT(G11,LEN("Is-ME"))="Is-ME"</formula>
    </cfRule>
    <cfRule type="beginsWith" dxfId="4006" priority="8129" operator="beginsWith" text="Is-Fe">
      <formula>LEFT(G11,LEN("Is-Fe"))="Is-Fe"</formula>
    </cfRule>
    <cfRule type="beginsWith" dxfId="4005" priority="8131" operator="beginsWith" text="Is">
      <formula>LEFT(G11,LEN("Is"))="Is"</formula>
    </cfRule>
    <cfRule type="beginsWith" dxfId="4004" priority="8133" operator="beginsWith" text="T">
      <formula>LEFT(G11,LEN("T"))="T"</formula>
    </cfRule>
    <cfRule type="beginsWith" dxfId="4003" priority="8135" operator="beginsWith" text="Mg">
      <formula>LEFT(G11,LEN("Mg"))="Mg"</formula>
    </cfRule>
    <cfRule type="beginsWith" dxfId="4002" priority="8137" operator="beginsWith" text="VM">
      <formula>LEFT(G11,LEN("VM"))="VM"</formula>
    </cfRule>
    <cfRule type="beginsWith" dxfId="4001" priority="8139" operator="beginsWith" text="ZW5">
      <formula>LEFT(G11,LEN("ZW5"))="ZW5"</formula>
    </cfRule>
    <cfRule type="beginsWith" dxfId="4000" priority="8141" operator="beginsWith" text="ZW3">
      <formula>LEFT(G11,LEN("ZW3"))="ZW3"</formula>
    </cfRule>
    <cfRule type="beginsWith" dxfId="3999" priority="8143" operator="beginsWith" text="ZW1">
      <formula>LEFT(G11,LEN("ZW1"))="ZW1"</formula>
    </cfRule>
    <cfRule type="beginsWith" dxfId="3998" priority="8145" operator="beginsWith" text="EW6">
      <formula>LEFT(G11,LEN("EW6"))="EW6"</formula>
    </cfRule>
    <cfRule type="beginsWith" dxfId="3997" priority="8147" operator="beginsWith" text="EW4">
      <formula>LEFT(G11,LEN("EW4"))="EW4"</formula>
    </cfRule>
    <cfRule type="beginsWith" dxfId="3996" priority="8149" operator="beginsWith" text="EW2">
      <formula>LEFT(G11,LEN("EW2"))="EW2"</formula>
    </cfRule>
    <cfRule type="beginsWith" dxfId="3995" priority="8151" operator="beginsWith" text="M-AS">
      <formula>LEFT(G11,LEN("M-AS"))="M-AS"</formula>
    </cfRule>
    <cfRule type="beginsWith" dxfId="3994" priority="8153" operator="beginsWith" text="TLP">
      <formula>LEFT(G11,LEN("TLP"))="TLP"</formula>
    </cfRule>
    <cfRule type="beginsWith" dxfId="3993" priority="8155" operator="beginsWith" text="US">
      <formula>LEFT(G11,LEN("US"))="US"</formula>
    </cfRule>
    <cfRule type="beginsWith" dxfId="3992" priority="8157" operator="beginsWith" text="AS">
      <formula>LEFT(G11,LEN("AS"))="AS"</formula>
    </cfRule>
    <cfRule type="beginsWith" dxfId="3991" priority="8159" operator="beginsWith" text="M-iW">
      <formula>LEFT(G11,LEN("M-iW"))="M-iW"</formula>
    </cfRule>
    <cfRule type="beginsWith" dxfId="3990" priority="8167" operator="beginsWith" text="MB">
      <formula>LEFT(G11,LEN("MB"))="MB"</formula>
    </cfRule>
  </conditionalFormatting>
  <conditionalFormatting sqref="G180:NJ183 G11:NJ12 G13:M13 S13:NJ13">
    <cfRule type="beginsWith" dxfId="3989" priority="8166" operator="beginsWith" text="Is-MB">
      <formula>LEFT(G11,LEN("Is-MB"))="Is-MB"</formula>
    </cfRule>
  </conditionalFormatting>
  <conditionalFormatting sqref="G180:NJ183 G11:NJ12 G13:M13 S13:NJ13">
    <cfRule type="beginsWith" dxfId="3988" priority="8165" operator="beginsWith" text="Y">
      <formula>LEFT(G11,LEN("Y"))="Y"</formula>
    </cfRule>
  </conditionalFormatting>
  <conditionalFormatting sqref="G180:NJ183 G11:NJ12 G13:M13 S13:NJ13">
    <cfRule type="beginsWith" dxfId="3987" priority="8164" operator="beginsWith" text="M-FP">
      <formula>LEFT(G11,LEN("M-FP"))="M-FP"</formula>
    </cfRule>
  </conditionalFormatting>
  <conditionalFormatting sqref="G180:NJ183 G11:NJ12 G13:M13 S13:NJ13">
    <cfRule type="beginsWith" dxfId="3986" priority="8163" operator="beginsWith" text="ME">
      <formula>LEFT(G11,LEN("ME"))="ME"</formula>
    </cfRule>
  </conditionalFormatting>
  <conditionalFormatting sqref="G180:NJ183 G11:NJ12 G13:M13 S13:NJ13">
    <cfRule type="beginsWith" dxfId="3985" priority="8162" operator="beginsWith" text="ME-TL">
      <formula>LEFT(G11,LEN("ME-TL"))="ME-TL"</formula>
    </cfRule>
  </conditionalFormatting>
  <conditionalFormatting sqref="G180:NJ183 G11:NJ12 G13:M13 S13:NJ13">
    <cfRule type="beginsWith" dxfId="3984" priority="8161" operator="beginsWith" text="M-W">
      <formula>LEFT(G11,LEN("M-W"))="M-W"</formula>
    </cfRule>
  </conditionalFormatting>
  <conditionalFormatting sqref="G15:M17 G39:H41 G59:NJ61 G63:NJ65 G75:NJ77 G79:NJ81 G83:NJ85 G87:NJ89 G91:NJ93 G95:NJ97 G99:NJ101 G103:NJ105 G107:NJ109 G111:NJ113 G115:NJ117 G119:NJ121 G123:NJ183 G50:N52 G43:H45 G31:M32 G19:M20 G28:M29 G35:H37 G53:NJ53 G55:NJ57 O51:NJ52 G71:NJ73 G67:NJ69 G47:H49 G11:NJ12 G23:H25 L23:M25 G27:H27 L27:M27 G21:H21 L21:M21 L47:NJ49 L35:M37 G33:H33 L33:M33 L43:NJ45 L40:NJ41 L39:M39 S39:NJ39 S35:NJ37 S23:NJ25 G13:M13 S13:NJ13 S27:NJ29 S19:NJ21 S31:NJ33 S15:NJ17 N41:R85">
    <cfRule type="expression" dxfId="3983" priority="8086">
      <formula>$F11="--"</formula>
    </cfRule>
    <cfRule type="expression" dxfId="3982" priority="8088">
      <formula>G$3=$PP11</formula>
    </cfRule>
    <cfRule type="expression" dxfId="3981" priority="8090">
      <formula>G$3=$PN11</formula>
    </cfRule>
    <cfRule type="expression" dxfId="3980" priority="8092">
      <formula>G$3=$PL11</formula>
    </cfRule>
    <cfRule type="expression" dxfId="3979" priority="8094">
      <formula>IF(G11=0,IF(OR(G$4=6,G$4=7,G$5=1),1,0),0)</formula>
    </cfRule>
    <cfRule type="expression" dxfId="3978" priority="8096">
      <formula>IF($C11&gt;0,IF(G$4=1,1,0),0)</formula>
    </cfRule>
    <cfRule type="expression" dxfId="3977" priority="8098">
      <formula>IF(OR(G11="T1..",G11="T2..",G11="T3..",G11="T4..",G11="T5..",G11="T6..",G11="T7..",G11="T8..",G11="T9.."),1,0)</formula>
    </cfRule>
    <cfRule type="expression" dxfId="3976" priority="8100">
      <formula>IF(OR(G11="T1",G11="T2",G11="T3",G11="T4",G11="T5",G11="T6",G11="T7",G11="T8",G11="T9"),1,0)</formula>
    </cfRule>
    <cfRule type="endsWith" dxfId="3975" priority="8102" operator="endsWith" text="_x">
      <formula>RIGHT(G11,LEN("_x"))="_x"</formula>
    </cfRule>
    <cfRule type="beginsWith" dxfId="3974" priority="8104" operator="beginsWith" text="AS-TL">
      <formula>LEFT(G11,LEN("AS-TL"))="AS-TL"</formula>
    </cfRule>
    <cfRule type="beginsWith" dxfId="3973" priority="8106" operator="beginsWith" text="tbs">
      <formula>LEFT(G11,LEN("tbs"))="tbs"</formula>
    </cfRule>
    <cfRule type="beginsWith" dxfId="3972" priority="8108" operator="beginsWith" text="TL-AS">
      <formula>LEFT(G11,LEN("TL-AS"))="TL-AS"</formula>
    </cfRule>
    <cfRule type="beginsWith" dxfId="3971" priority="8110" operator="beginsWith" text="L">
      <formula>LEFT(G11,LEN("L"))="L"</formula>
    </cfRule>
    <cfRule type="beginsWith" dxfId="3970" priority="8112" operator="beginsWith" text="DC">
      <formula>LEFT(G11,LEN("DC"))="DC"</formula>
    </cfRule>
    <cfRule type="beginsWith" dxfId="3969" priority="8114" operator="beginsWith" text="FP">
      <formula>LEFT(G11,LEN("FP"))="FP"</formula>
    </cfRule>
    <cfRule type="beginsWith" dxfId="3968" priority="8116" operator="beginsWith" text="M-TT">
      <formula>LEFT(G11,LEN("M-TT"))="M-TT"</formula>
    </cfRule>
    <cfRule type="beginsWith" dxfId="3967" priority="8118" operator="beginsWith" text="Ü">
      <formula>LEFT(G11,LEN("Ü"))="Ü"</formula>
    </cfRule>
    <cfRule type="beginsWith" dxfId="3966" priority="8120" operator="beginsWith" text="iW">
      <formula>LEFT(G11,LEN("iW"))="iW"</formula>
    </cfRule>
    <cfRule type="beginsWith" dxfId="3965" priority="8122" operator="beginsWith" text="D">
      <formula>LEFT(G11,LEN("D"))="D"</formula>
    </cfRule>
    <cfRule type="beginsWith" dxfId="3964" priority="8124" operator="beginsWith" text="Kde">
      <formula>LEFT(G11,LEN("Kde"))="Kde"</formula>
    </cfRule>
    <cfRule type="beginsWith" dxfId="3963" priority="8126" operator="beginsWith" text="P">
      <formula>LEFT(G11,LEN("P"))="P"</formula>
    </cfRule>
    <cfRule type="beginsWith" dxfId="3962" priority="8128" operator="beginsWith" text="Is-M">
      <formula>LEFT(G11,LEN("Is-M"))="Is-M"</formula>
    </cfRule>
    <cfRule type="beginsWith" dxfId="3961" priority="8130" operator="beginsWith" text="Is-Id">
      <formula>LEFT(G11,LEN("Is-Id"))="Is-Id"</formula>
    </cfRule>
    <cfRule type="beginsWith" dxfId="3960" priority="8132" operator="beginsWith" text="M-Is">
      <formula>LEFT(G11,LEN("M-Is"))="M-Is"</formula>
    </cfRule>
    <cfRule type="beginsWith" dxfId="3959" priority="8134" operator="beginsWith" text="M-Fe">
      <formula>LEFT(G11,LEN("M-Fe"))="M-Fe"</formula>
    </cfRule>
    <cfRule type="beginsWith" dxfId="3958" priority="8136" operator="beginsWith" text="M-TP">
      <formula>LEFT(G11,LEN("M-TP"))="M-TP"</formula>
    </cfRule>
    <cfRule type="beginsWith" dxfId="3957" priority="8138" operator="beginsWith" text="ZW6">
      <formula>LEFT(G11,LEN("ZW6"))="ZW6"</formula>
    </cfRule>
    <cfRule type="beginsWith" dxfId="3956" priority="8140" operator="beginsWith" text="ZW4">
      <formula>LEFT(G11,LEN("ZW4"))="ZW4"</formula>
    </cfRule>
    <cfRule type="beginsWith" dxfId="3955" priority="8142" operator="beginsWith" text="ZW2">
      <formula>LEFT(G11,LEN("ZW2"))="ZW2"</formula>
    </cfRule>
    <cfRule type="beginsWith" dxfId="3954" priority="8144" operator="beginsWith" text="ZW0">
      <formula>LEFT(G11,LEN("ZW0"))="ZW0"</formula>
    </cfRule>
    <cfRule type="beginsWith" dxfId="3953" priority="8146" operator="beginsWith" text="EW5">
      <formula>LEFT(G11,LEN("EW5"))="EW5"</formula>
    </cfRule>
    <cfRule type="beginsWith" dxfId="3952" priority="8148" operator="beginsWith" text="EW3">
      <formula>LEFT(G11,LEN("EW3"))="EW3"</formula>
    </cfRule>
    <cfRule type="beginsWith" dxfId="3951" priority="8150" operator="beginsWith" text="EW1">
      <formula>LEFT(G11,LEN("EW1"))="EW1"</formula>
    </cfRule>
    <cfRule type="beginsWith" dxfId="3950" priority="8152" operator="beginsWith" text="TL-AS">
      <formula>LEFT(G11,LEN("TL-AS"))="TL-AS"</formula>
    </cfRule>
    <cfRule type="beginsWith" dxfId="3949" priority="8154" operator="beginsWith" text="TL">
      <formula>LEFT(G11,LEN("TL"))="TL"</formula>
    </cfRule>
    <cfRule type="beginsWith" dxfId="3948" priority="8156" operator="beginsWith" text="AF">
      <formula>LEFT(G11,LEN("AF"))="AF"</formula>
    </cfRule>
    <cfRule type="beginsWith" dxfId="3947" priority="8158" operator="beginsWith" text="M-DG">
      <formula>LEFT(G11,LEN("M-DG"))="M-DG"</formula>
    </cfRule>
    <cfRule type="beginsWith" dxfId="3946" priority="8160" operator="beginsWith" text="M-Kde">
      <formula>LEFT(G11,LEN("M-Kde"))="M-Kde"</formula>
    </cfRule>
  </conditionalFormatting>
  <conditionalFormatting sqref="G177:NJ179">
    <cfRule type="beginsWith" dxfId="3945" priority="8081" operator="beginsWith" text="M">
      <formula>LEFT(G177,LEN("M"))="M"</formula>
    </cfRule>
  </conditionalFormatting>
  <conditionalFormatting sqref="G177:NJ179">
    <cfRule type="beginsWith" dxfId="3944" priority="8079" operator="beginsWith" text="Is-MB">
      <formula>LEFT(G177,LEN("Is-MB"))="Is-MB"</formula>
    </cfRule>
  </conditionalFormatting>
  <conditionalFormatting sqref="G177:NJ179">
    <cfRule type="beginsWith" dxfId="3943" priority="8078" operator="beginsWith" text="Y">
      <formula>LEFT(G177,LEN("Y"))="Y"</formula>
    </cfRule>
  </conditionalFormatting>
  <conditionalFormatting sqref="G177:NJ179">
    <cfRule type="beginsWith" dxfId="3942" priority="8077" operator="beginsWith" text="M-FP">
      <formula>LEFT(G177,LEN("M-FP"))="M-FP"</formula>
    </cfRule>
  </conditionalFormatting>
  <conditionalFormatting sqref="G177:NJ179">
    <cfRule type="beginsWith" dxfId="3941" priority="8076" operator="beginsWith" text="ME">
      <formula>LEFT(G177,LEN("ME"))="ME"</formula>
    </cfRule>
  </conditionalFormatting>
  <conditionalFormatting sqref="G177:NJ179">
    <cfRule type="beginsWith" dxfId="3940" priority="8075" operator="beginsWith" text="ME-TL">
      <formula>LEFT(G177,LEN("ME-TL"))="ME-TL"</formula>
    </cfRule>
  </conditionalFormatting>
  <conditionalFormatting sqref="G177:NJ179">
    <cfRule type="beginsWith" dxfId="3939" priority="8074" operator="beginsWith" text="M-W">
      <formula>LEFT(G177,LEN("M-W"))="M-W"</formula>
    </cfRule>
  </conditionalFormatting>
  <conditionalFormatting sqref="G174:NJ176">
    <cfRule type="beginsWith" dxfId="3938" priority="7994" operator="beginsWith" text="M">
      <formula>LEFT(G174,LEN("M"))="M"</formula>
    </cfRule>
  </conditionalFormatting>
  <conditionalFormatting sqref="G174:NJ176">
    <cfRule type="beginsWith" dxfId="3937" priority="7992" operator="beginsWith" text="Is-MB">
      <formula>LEFT(G174,LEN("Is-MB"))="Is-MB"</formula>
    </cfRule>
  </conditionalFormatting>
  <conditionalFormatting sqref="G174:NJ176">
    <cfRule type="beginsWith" dxfId="3936" priority="7991" operator="beginsWith" text="Y">
      <formula>LEFT(G174,LEN("Y"))="Y"</formula>
    </cfRule>
  </conditionalFormatting>
  <conditionalFormatting sqref="G174:NJ176">
    <cfRule type="beginsWith" dxfId="3935" priority="7990" operator="beginsWith" text="M-FP">
      <formula>LEFT(G174,LEN("M-FP"))="M-FP"</formula>
    </cfRule>
  </conditionalFormatting>
  <conditionalFormatting sqref="G174:NJ176">
    <cfRule type="beginsWith" dxfId="3934" priority="7989" operator="beginsWith" text="ME">
      <formula>LEFT(G174,LEN("ME"))="ME"</formula>
    </cfRule>
  </conditionalFormatting>
  <conditionalFormatting sqref="G174:NJ176">
    <cfRule type="beginsWith" dxfId="3933" priority="7988" operator="beginsWith" text="ME-TL">
      <formula>LEFT(G174,LEN("ME-TL"))="ME-TL"</formula>
    </cfRule>
  </conditionalFormatting>
  <conditionalFormatting sqref="G174:NJ176">
    <cfRule type="beginsWith" dxfId="3932" priority="7987" operator="beginsWith" text="M-W">
      <formula>LEFT(G174,LEN("M-W"))="M-W"</formula>
    </cfRule>
  </conditionalFormatting>
  <conditionalFormatting sqref="G171:NJ173">
    <cfRule type="beginsWith" dxfId="3931" priority="7907" operator="beginsWith" text="M">
      <formula>LEFT(G171,LEN("M"))="M"</formula>
    </cfRule>
  </conditionalFormatting>
  <conditionalFormatting sqref="G171:NJ173">
    <cfRule type="beginsWith" dxfId="3930" priority="7905" operator="beginsWith" text="Is-MB">
      <formula>LEFT(G171,LEN("Is-MB"))="Is-MB"</formula>
    </cfRule>
  </conditionalFormatting>
  <conditionalFormatting sqref="G171:NJ173">
    <cfRule type="beginsWith" dxfId="3929" priority="7904" operator="beginsWith" text="Y">
      <formula>LEFT(G171,LEN("Y"))="Y"</formula>
    </cfRule>
  </conditionalFormatting>
  <conditionalFormatting sqref="G171:NJ173">
    <cfRule type="beginsWith" dxfId="3928" priority="7903" operator="beginsWith" text="M-FP">
      <formula>LEFT(G171,LEN("M-FP"))="M-FP"</formula>
    </cfRule>
  </conditionalFormatting>
  <conditionalFormatting sqref="G171:NJ173">
    <cfRule type="beginsWith" dxfId="3927" priority="7902" operator="beginsWith" text="ME">
      <formula>LEFT(G171,LEN("ME"))="ME"</formula>
    </cfRule>
  </conditionalFormatting>
  <conditionalFormatting sqref="G171:NJ173">
    <cfRule type="beginsWith" dxfId="3926" priority="7901" operator="beginsWith" text="ME-TL">
      <formula>LEFT(G171,LEN("ME-TL"))="ME-TL"</formula>
    </cfRule>
  </conditionalFormatting>
  <conditionalFormatting sqref="G171:NJ173">
    <cfRule type="beginsWith" dxfId="3925" priority="7900" operator="beginsWith" text="M-W">
      <formula>LEFT(G171,LEN("M-W"))="M-W"</formula>
    </cfRule>
  </conditionalFormatting>
  <conditionalFormatting sqref="G168:NJ170">
    <cfRule type="beginsWith" dxfId="3924" priority="7820" operator="beginsWith" text="M">
      <formula>LEFT(G168,LEN("M"))="M"</formula>
    </cfRule>
  </conditionalFormatting>
  <conditionalFormatting sqref="G168:NJ170">
    <cfRule type="beginsWith" dxfId="3923" priority="7818" operator="beginsWith" text="Is-MB">
      <formula>LEFT(G168,LEN("Is-MB"))="Is-MB"</formula>
    </cfRule>
  </conditionalFormatting>
  <conditionalFormatting sqref="G168:NJ170">
    <cfRule type="beginsWith" dxfId="3922" priority="7817" operator="beginsWith" text="Y">
      <formula>LEFT(G168,LEN("Y"))="Y"</formula>
    </cfRule>
  </conditionalFormatting>
  <conditionalFormatting sqref="G168:NJ170">
    <cfRule type="beginsWith" dxfId="3921" priority="7816" operator="beginsWith" text="M-FP">
      <formula>LEFT(G168,LEN("M-FP"))="M-FP"</formula>
    </cfRule>
  </conditionalFormatting>
  <conditionalFormatting sqref="G168:NJ170">
    <cfRule type="beginsWith" dxfId="3920" priority="7815" operator="beginsWith" text="ME">
      <formula>LEFT(G168,LEN("ME"))="ME"</formula>
    </cfRule>
  </conditionalFormatting>
  <conditionalFormatting sqref="G168:NJ170">
    <cfRule type="beginsWith" dxfId="3919" priority="7814" operator="beginsWith" text="ME-TL">
      <formula>LEFT(G168,LEN("ME-TL"))="ME-TL"</formula>
    </cfRule>
  </conditionalFormatting>
  <conditionalFormatting sqref="G168:NJ170">
    <cfRule type="beginsWith" dxfId="3918" priority="7813" operator="beginsWith" text="M-W">
      <formula>LEFT(G168,LEN("M-W"))="M-W"</formula>
    </cfRule>
  </conditionalFormatting>
  <conditionalFormatting sqref="G165:NJ167">
    <cfRule type="beginsWith" dxfId="3917" priority="7733" operator="beginsWith" text="M">
      <formula>LEFT(G165,LEN("M"))="M"</formula>
    </cfRule>
  </conditionalFormatting>
  <conditionalFormatting sqref="G165:NJ167">
    <cfRule type="beginsWith" dxfId="3916" priority="7731" operator="beginsWith" text="Is-MB">
      <formula>LEFT(G165,LEN("Is-MB"))="Is-MB"</formula>
    </cfRule>
  </conditionalFormatting>
  <conditionalFormatting sqref="G165:NJ167">
    <cfRule type="beginsWith" dxfId="3915" priority="7730" operator="beginsWith" text="Y">
      <formula>LEFT(G165,LEN("Y"))="Y"</formula>
    </cfRule>
  </conditionalFormatting>
  <conditionalFormatting sqref="G165:NJ167">
    <cfRule type="beginsWith" dxfId="3914" priority="7729" operator="beginsWith" text="M-FP">
      <formula>LEFT(G165,LEN("M-FP"))="M-FP"</formula>
    </cfRule>
  </conditionalFormatting>
  <conditionalFormatting sqref="G165:NJ167">
    <cfRule type="beginsWith" dxfId="3913" priority="7728" operator="beginsWith" text="ME">
      <formula>LEFT(G165,LEN("ME"))="ME"</formula>
    </cfRule>
  </conditionalFormatting>
  <conditionalFormatting sqref="G165:NJ167">
    <cfRule type="beginsWith" dxfId="3912" priority="7727" operator="beginsWith" text="ME-TL">
      <formula>LEFT(G165,LEN("ME-TL"))="ME-TL"</formula>
    </cfRule>
  </conditionalFormatting>
  <conditionalFormatting sqref="G165:NJ167">
    <cfRule type="beginsWith" dxfId="3911" priority="7726" operator="beginsWith" text="M-W">
      <formula>LEFT(G165,LEN("M-W"))="M-W"</formula>
    </cfRule>
  </conditionalFormatting>
  <conditionalFormatting sqref="G162:NJ164">
    <cfRule type="beginsWith" dxfId="3910" priority="7646" operator="beginsWith" text="M">
      <formula>LEFT(G162,LEN("M"))="M"</formula>
    </cfRule>
  </conditionalFormatting>
  <conditionalFormatting sqref="G162:NJ164">
    <cfRule type="beginsWith" dxfId="3909" priority="7644" operator="beginsWith" text="Is-MB">
      <formula>LEFT(G162,LEN("Is-MB"))="Is-MB"</formula>
    </cfRule>
  </conditionalFormatting>
  <conditionalFormatting sqref="G162:NJ164">
    <cfRule type="beginsWith" dxfId="3908" priority="7643" operator="beginsWith" text="Y">
      <formula>LEFT(G162,LEN("Y"))="Y"</formula>
    </cfRule>
  </conditionalFormatting>
  <conditionalFormatting sqref="G162:NJ164">
    <cfRule type="beginsWith" dxfId="3907" priority="7642" operator="beginsWith" text="M-FP">
      <formula>LEFT(G162,LEN("M-FP"))="M-FP"</formula>
    </cfRule>
  </conditionalFormatting>
  <conditionalFormatting sqref="G162:NJ164">
    <cfRule type="beginsWith" dxfId="3906" priority="7641" operator="beginsWith" text="ME">
      <formula>LEFT(G162,LEN("ME"))="ME"</formula>
    </cfRule>
  </conditionalFormatting>
  <conditionalFormatting sqref="G162:NJ164">
    <cfRule type="beginsWith" dxfId="3905" priority="7640" operator="beginsWith" text="ME-TL">
      <formula>LEFT(G162,LEN("ME-TL"))="ME-TL"</formula>
    </cfRule>
  </conditionalFormatting>
  <conditionalFormatting sqref="G162:NJ164">
    <cfRule type="beginsWith" dxfId="3904" priority="7639" operator="beginsWith" text="M-W">
      <formula>LEFT(G162,LEN("M-W"))="M-W"</formula>
    </cfRule>
  </conditionalFormatting>
  <conditionalFormatting sqref="G159:NJ161">
    <cfRule type="beginsWith" dxfId="3903" priority="7559" operator="beginsWith" text="M">
      <formula>LEFT(G159,LEN("M"))="M"</formula>
    </cfRule>
  </conditionalFormatting>
  <conditionalFormatting sqref="G159:NJ161">
    <cfRule type="beginsWith" dxfId="3902" priority="7557" operator="beginsWith" text="Is-MB">
      <formula>LEFT(G159,LEN("Is-MB"))="Is-MB"</formula>
    </cfRule>
  </conditionalFormatting>
  <conditionalFormatting sqref="G159:NJ161">
    <cfRule type="beginsWith" dxfId="3901" priority="7556" operator="beginsWith" text="Y">
      <formula>LEFT(G159,LEN("Y"))="Y"</formula>
    </cfRule>
  </conditionalFormatting>
  <conditionalFormatting sqref="G159:NJ161">
    <cfRule type="beginsWith" dxfId="3900" priority="7555" operator="beginsWith" text="M-FP">
      <formula>LEFT(G159,LEN("M-FP"))="M-FP"</formula>
    </cfRule>
  </conditionalFormatting>
  <conditionalFormatting sqref="G159:NJ161">
    <cfRule type="beginsWith" dxfId="3899" priority="7554" operator="beginsWith" text="ME">
      <formula>LEFT(G159,LEN("ME"))="ME"</formula>
    </cfRule>
  </conditionalFormatting>
  <conditionalFormatting sqref="G159:NJ161">
    <cfRule type="beginsWith" dxfId="3898" priority="7553" operator="beginsWith" text="ME-TL">
      <formula>LEFT(G159,LEN("ME-TL"))="ME-TL"</formula>
    </cfRule>
  </conditionalFormatting>
  <conditionalFormatting sqref="G159:NJ161">
    <cfRule type="beginsWith" dxfId="3897" priority="7552" operator="beginsWith" text="M-W">
      <formula>LEFT(G159,LEN("M-W"))="M-W"</formula>
    </cfRule>
  </conditionalFormatting>
  <conditionalFormatting sqref="G156:NJ158">
    <cfRule type="beginsWith" dxfId="3896" priority="7472" operator="beginsWith" text="M">
      <formula>LEFT(G156,LEN("M"))="M"</formula>
    </cfRule>
  </conditionalFormatting>
  <conditionalFormatting sqref="G156:NJ158">
    <cfRule type="beginsWith" dxfId="3895" priority="7470" operator="beginsWith" text="Is-MB">
      <formula>LEFT(G156,LEN("Is-MB"))="Is-MB"</formula>
    </cfRule>
  </conditionalFormatting>
  <conditionalFormatting sqref="G156:NJ158">
    <cfRule type="beginsWith" dxfId="3894" priority="7469" operator="beginsWith" text="Y">
      <formula>LEFT(G156,LEN("Y"))="Y"</formula>
    </cfRule>
  </conditionalFormatting>
  <conditionalFormatting sqref="G156:NJ158">
    <cfRule type="beginsWith" dxfId="3893" priority="7468" operator="beginsWith" text="M-FP">
      <formula>LEFT(G156,LEN("M-FP"))="M-FP"</formula>
    </cfRule>
  </conditionalFormatting>
  <conditionalFormatting sqref="G156:NJ158">
    <cfRule type="beginsWith" dxfId="3892" priority="7467" operator="beginsWith" text="ME">
      <formula>LEFT(G156,LEN("ME"))="ME"</formula>
    </cfRule>
  </conditionalFormatting>
  <conditionalFormatting sqref="G156:NJ158">
    <cfRule type="beginsWith" dxfId="3891" priority="7466" operator="beginsWith" text="ME-TL">
      <formula>LEFT(G156,LEN("ME-TL"))="ME-TL"</formula>
    </cfRule>
  </conditionalFormatting>
  <conditionalFormatting sqref="G156:NJ158">
    <cfRule type="beginsWith" dxfId="3890" priority="7465" operator="beginsWith" text="M-W">
      <formula>LEFT(G156,LEN("M-W"))="M-W"</formula>
    </cfRule>
  </conditionalFormatting>
  <conditionalFormatting sqref="G153:NJ155">
    <cfRule type="beginsWith" dxfId="3889" priority="7385" operator="beginsWith" text="M">
      <formula>LEFT(G153,LEN("M"))="M"</formula>
    </cfRule>
  </conditionalFormatting>
  <conditionalFormatting sqref="G153:NJ155">
    <cfRule type="beginsWith" dxfId="3888" priority="7383" operator="beginsWith" text="Is-MB">
      <formula>LEFT(G153,LEN("Is-MB"))="Is-MB"</formula>
    </cfRule>
  </conditionalFormatting>
  <conditionalFormatting sqref="G153:NJ155">
    <cfRule type="beginsWith" dxfId="3887" priority="7382" operator="beginsWith" text="Y">
      <formula>LEFT(G153,LEN("Y"))="Y"</formula>
    </cfRule>
  </conditionalFormatting>
  <conditionalFormatting sqref="G153:NJ155">
    <cfRule type="beginsWith" dxfId="3886" priority="7381" operator="beginsWith" text="M-FP">
      <formula>LEFT(G153,LEN("M-FP"))="M-FP"</formula>
    </cfRule>
  </conditionalFormatting>
  <conditionalFormatting sqref="G153:NJ155">
    <cfRule type="beginsWith" dxfId="3885" priority="7380" operator="beginsWith" text="ME">
      <formula>LEFT(G153,LEN("ME"))="ME"</formula>
    </cfRule>
  </conditionalFormatting>
  <conditionalFormatting sqref="G153:NJ155">
    <cfRule type="beginsWith" dxfId="3884" priority="7379" operator="beginsWith" text="ME-TL">
      <formula>LEFT(G153,LEN("ME-TL"))="ME-TL"</formula>
    </cfRule>
  </conditionalFormatting>
  <conditionalFormatting sqref="G153:NJ155">
    <cfRule type="beginsWith" dxfId="3883" priority="7378" operator="beginsWith" text="M-W">
      <formula>LEFT(G153,LEN("M-W"))="M-W"</formula>
    </cfRule>
  </conditionalFormatting>
  <conditionalFormatting sqref="G150:NJ152">
    <cfRule type="beginsWith" dxfId="3882" priority="7298" operator="beginsWith" text="M">
      <formula>LEFT(G150,LEN("M"))="M"</formula>
    </cfRule>
  </conditionalFormatting>
  <conditionalFormatting sqref="G150:NJ152">
    <cfRule type="beginsWith" dxfId="3881" priority="7296" operator="beginsWith" text="Is-MB">
      <formula>LEFT(G150,LEN("Is-MB"))="Is-MB"</formula>
    </cfRule>
  </conditionalFormatting>
  <conditionalFormatting sqref="G150:NJ152">
    <cfRule type="beginsWith" dxfId="3880" priority="7295" operator="beginsWith" text="Y">
      <formula>LEFT(G150,LEN("Y"))="Y"</formula>
    </cfRule>
  </conditionalFormatting>
  <conditionalFormatting sqref="G150:NJ152">
    <cfRule type="beginsWith" dxfId="3879" priority="7294" operator="beginsWith" text="M-FP">
      <formula>LEFT(G150,LEN("M-FP"))="M-FP"</formula>
    </cfRule>
  </conditionalFormatting>
  <conditionalFormatting sqref="G150:NJ152">
    <cfRule type="beginsWith" dxfId="3878" priority="7293" operator="beginsWith" text="ME">
      <formula>LEFT(G150,LEN("ME"))="ME"</formula>
    </cfRule>
  </conditionalFormatting>
  <conditionalFormatting sqref="G150:NJ152">
    <cfRule type="beginsWith" dxfId="3877" priority="7292" operator="beginsWith" text="ME-TL">
      <formula>LEFT(G150,LEN("ME-TL"))="ME-TL"</formula>
    </cfRule>
  </conditionalFormatting>
  <conditionalFormatting sqref="G150:NJ152">
    <cfRule type="beginsWith" dxfId="3876" priority="7291" operator="beginsWith" text="M-W">
      <formula>LEFT(G150,LEN("M-W"))="M-W"</formula>
    </cfRule>
  </conditionalFormatting>
  <conditionalFormatting sqref="G147:NJ149">
    <cfRule type="beginsWith" dxfId="3875" priority="7211" operator="beginsWith" text="M">
      <formula>LEFT(G147,LEN("M"))="M"</formula>
    </cfRule>
  </conditionalFormatting>
  <conditionalFormatting sqref="G147:NJ149">
    <cfRule type="beginsWith" dxfId="3874" priority="7209" operator="beginsWith" text="Is-MB">
      <formula>LEFT(G147,LEN("Is-MB"))="Is-MB"</formula>
    </cfRule>
  </conditionalFormatting>
  <conditionalFormatting sqref="G147:NJ149">
    <cfRule type="beginsWith" dxfId="3873" priority="7208" operator="beginsWith" text="Y">
      <formula>LEFT(G147,LEN("Y"))="Y"</formula>
    </cfRule>
  </conditionalFormatting>
  <conditionalFormatting sqref="G147:NJ149">
    <cfRule type="beginsWith" dxfId="3872" priority="7207" operator="beginsWith" text="M-FP">
      <formula>LEFT(G147,LEN("M-FP"))="M-FP"</formula>
    </cfRule>
  </conditionalFormatting>
  <conditionalFormatting sqref="G147:NJ149">
    <cfRule type="beginsWith" dxfId="3871" priority="7206" operator="beginsWith" text="ME">
      <formula>LEFT(G147,LEN("ME"))="ME"</formula>
    </cfRule>
  </conditionalFormatting>
  <conditionalFormatting sqref="G147:NJ149">
    <cfRule type="beginsWith" dxfId="3870" priority="7205" operator="beginsWith" text="ME-TL">
      <formula>LEFT(G147,LEN("ME-TL"))="ME-TL"</formula>
    </cfRule>
  </conditionalFormatting>
  <conditionalFormatting sqref="G147:NJ149">
    <cfRule type="beginsWith" dxfId="3869" priority="7204" operator="beginsWith" text="M-W">
      <formula>LEFT(G147,LEN("M-W"))="M-W"</formula>
    </cfRule>
  </conditionalFormatting>
  <conditionalFormatting sqref="G144:NJ146">
    <cfRule type="beginsWith" dxfId="3868" priority="7124" operator="beginsWith" text="M">
      <formula>LEFT(G144,LEN("M"))="M"</formula>
    </cfRule>
  </conditionalFormatting>
  <conditionalFormatting sqref="G144:NJ146">
    <cfRule type="beginsWith" dxfId="3867" priority="7122" operator="beginsWith" text="Is-MB">
      <formula>LEFT(G144,LEN("Is-MB"))="Is-MB"</formula>
    </cfRule>
  </conditionalFormatting>
  <conditionalFormatting sqref="G144:NJ146">
    <cfRule type="beginsWith" dxfId="3866" priority="7121" operator="beginsWith" text="Y">
      <formula>LEFT(G144,LEN("Y"))="Y"</formula>
    </cfRule>
  </conditionalFormatting>
  <conditionalFormatting sqref="G144:NJ146">
    <cfRule type="beginsWith" dxfId="3865" priority="7120" operator="beginsWith" text="M-FP">
      <formula>LEFT(G144,LEN("M-FP"))="M-FP"</formula>
    </cfRule>
  </conditionalFormatting>
  <conditionalFormatting sqref="G144:NJ146">
    <cfRule type="beginsWith" dxfId="3864" priority="7119" operator="beginsWith" text="ME">
      <formula>LEFT(G144,LEN("ME"))="ME"</formula>
    </cfRule>
  </conditionalFormatting>
  <conditionalFormatting sqref="G144:NJ146">
    <cfRule type="beginsWith" dxfId="3863" priority="7118" operator="beginsWith" text="ME-TL">
      <formula>LEFT(G144,LEN("ME-TL"))="ME-TL"</formula>
    </cfRule>
  </conditionalFormatting>
  <conditionalFormatting sqref="G144:NJ146">
    <cfRule type="beginsWith" dxfId="3862" priority="7117" operator="beginsWith" text="M-W">
      <formula>LEFT(G144,LEN("M-W"))="M-W"</formula>
    </cfRule>
  </conditionalFormatting>
  <conditionalFormatting sqref="G141:NJ143">
    <cfRule type="beginsWith" dxfId="3861" priority="7037" operator="beginsWith" text="M">
      <formula>LEFT(G141,LEN("M"))="M"</formula>
    </cfRule>
  </conditionalFormatting>
  <conditionalFormatting sqref="G141:NJ143">
    <cfRule type="beginsWith" dxfId="3860" priority="7035" operator="beginsWith" text="Is-MB">
      <formula>LEFT(G141,LEN("Is-MB"))="Is-MB"</formula>
    </cfRule>
  </conditionalFormatting>
  <conditionalFormatting sqref="G141:NJ143">
    <cfRule type="beginsWith" dxfId="3859" priority="7034" operator="beginsWith" text="Y">
      <formula>LEFT(G141,LEN("Y"))="Y"</formula>
    </cfRule>
  </conditionalFormatting>
  <conditionalFormatting sqref="G141:NJ143">
    <cfRule type="beginsWith" dxfId="3858" priority="7033" operator="beginsWith" text="M-FP">
      <formula>LEFT(G141,LEN("M-FP"))="M-FP"</formula>
    </cfRule>
  </conditionalFormatting>
  <conditionalFormatting sqref="G141:NJ143">
    <cfRule type="beginsWith" dxfId="3857" priority="7032" operator="beginsWith" text="ME">
      <formula>LEFT(G141,LEN("ME"))="ME"</formula>
    </cfRule>
  </conditionalFormatting>
  <conditionalFormatting sqref="G141:NJ143">
    <cfRule type="beginsWith" dxfId="3856" priority="7031" operator="beginsWith" text="ME-TL">
      <formula>LEFT(G141,LEN("ME-TL"))="ME-TL"</formula>
    </cfRule>
  </conditionalFormatting>
  <conditionalFormatting sqref="G141:NJ143">
    <cfRule type="beginsWith" dxfId="3855" priority="7030" operator="beginsWith" text="M-W">
      <formula>LEFT(G141,LEN("M-W"))="M-W"</formula>
    </cfRule>
  </conditionalFormatting>
  <conditionalFormatting sqref="G138:NJ140">
    <cfRule type="beginsWith" dxfId="3854" priority="6950" operator="beginsWith" text="M">
      <formula>LEFT(G138,LEN("M"))="M"</formula>
    </cfRule>
  </conditionalFormatting>
  <conditionalFormatting sqref="G138:NJ140">
    <cfRule type="beginsWith" dxfId="3853" priority="6948" operator="beginsWith" text="Is-MB">
      <formula>LEFT(G138,LEN("Is-MB"))="Is-MB"</formula>
    </cfRule>
  </conditionalFormatting>
  <conditionalFormatting sqref="G138:NJ140">
    <cfRule type="beginsWith" dxfId="3852" priority="6947" operator="beginsWith" text="Y">
      <formula>LEFT(G138,LEN("Y"))="Y"</formula>
    </cfRule>
  </conditionalFormatting>
  <conditionalFormatting sqref="G138:NJ140">
    <cfRule type="beginsWith" dxfId="3851" priority="6946" operator="beginsWith" text="M-FP">
      <formula>LEFT(G138,LEN("M-FP"))="M-FP"</formula>
    </cfRule>
  </conditionalFormatting>
  <conditionalFormatting sqref="G138:NJ140">
    <cfRule type="beginsWith" dxfId="3850" priority="6945" operator="beginsWith" text="ME">
      <formula>LEFT(G138,LEN("ME"))="ME"</formula>
    </cfRule>
  </conditionalFormatting>
  <conditionalFormatting sqref="G138:NJ140">
    <cfRule type="beginsWith" dxfId="3849" priority="6944" operator="beginsWith" text="ME-TL">
      <formula>LEFT(G138,LEN("ME-TL"))="ME-TL"</formula>
    </cfRule>
  </conditionalFormatting>
  <conditionalFormatting sqref="G138:NJ140">
    <cfRule type="beginsWith" dxfId="3848" priority="6943" operator="beginsWith" text="M-W">
      <formula>LEFT(G138,LEN("M-W"))="M-W"</formula>
    </cfRule>
  </conditionalFormatting>
  <conditionalFormatting sqref="G135:NJ137">
    <cfRule type="beginsWith" dxfId="3847" priority="6863" operator="beginsWith" text="M">
      <formula>LEFT(G135,LEN("M"))="M"</formula>
    </cfRule>
  </conditionalFormatting>
  <conditionalFormatting sqref="G135:NJ137">
    <cfRule type="beginsWith" dxfId="3846" priority="6861" operator="beginsWith" text="Is-MB">
      <formula>LEFT(G135,LEN("Is-MB"))="Is-MB"</formula>
    </cfRule>
  </conditionalFormatting>
  <conditionalFormatting sqref="G135:NJ137">
    <cfRule type="beginsWith" dxfId="3845" priority="6860" operator="beginsWith" text="Y">
      <formula>LEFT(G135,LEN("Y"))="Y"</formula>
    </cfRule>
  </conditionalFormatting>
  <conditionalFormatting sqref="G135:NJ137">
    <cfRule type="beginsWith" dxfId="3844" priority="6859" operator="beginsWith" text="M-FP">
      <formula>LEFT(G135,LEN("M-FP"))="M-FP"</formula>
    </cfRule>
  </conditionalFormatting>
  <conditionalFormatting sqref="G135:NJ137">
    <cfRule type="beginsWith" dxfId="3843" priority="6858" operator="beginsWith" text="ME">
      <formula>LEFT(G135,LEN("ME"))="ME"</formula>
    </cfRule>
  </conditionalFormatting>
  <conditionalFormatting sqref="G135:NJ137">
    <cfRule type="beginsWith" dxfId="3842" priority="6857" operator="beginsWith" text="ME-TL">
      <formula>LEFT(G135,LEN("ME-TL"))="ME-TL"</formula>
    </cfRule>
  </conditionalFormatting>
  <conditionalFormatting sqref="G135:NJ137">
    <cfRule type="beginsWith" dxfId="3841" priority="6856" operator="beginsWith" text="M-W">
      <formula>LEFT(G135,LEN("M-W"))="M-W"</formula>
    </cfRule>
  </conditionalFormatting>
  <conditionalFormatting sqref="G132:NJ134">
    <cfRule type="beginsWith" dxfId="3840" priority="6776" operator="beginsWith" text="M">
      <formula>LEFT(G132,LEN("M"))="M"</formula>
    </cfRule>
  </conditionalFormatting>
  <conditionalFormatting sqref="G132:NJ134">
    <cfRule type="beginsWith" dxfId="3839" priority="6774" operator="beginsWith" text="Is-MB">
      <formula>LEFT(G132,LEN("Is-MB"))="Is-MB"</formula>
    </cfRule>
  </conditionalFormatting>
  <conditionalFormatting sqref="G132:NJ134">
    <cfRule type="beginsWith" dxfId="3838" priority="6773" operator="beginsWith" text="Y">
      <formula>LEFT(G132,LEN("Y"))="Y"</formula>
    </cfRule>
  </conditionalFormatting>
  <conditionalFormatting sqref="G132:NJ134">
    <cfRule type="beginsWith" dxfId="3837" priority="6772" operator="beginsWith" text="M-FP">
      <formula>LEFT(G132,LEN("M-FP"))="M-FP"</formula>
    </cfRule>
  </conditionalFormatting>
  <conditionalFormatting sqref="G132:NJ134">
    <cfRule type="beginsWith" dxfId="3836" priority="6771" operator="beginsWith" text="ME">
      <formula>LEFT(G132,LEN("ME"))="ME"</formula>
    </cfRule>
  </conditionalFormatting>
  <conditionalFormatting sqref="G132:NJ134">
    <cfRule type="beginsWith" dxfId="3835" priority="6770" operator="beginsWith" text="ME-TL">
      <formula>LEFT(G132,LEN("ME-TL"))="ME-TL"</formula>
    </cfRule>
  </conditionalFormatting>
  <conditionalFormatting sqref="G132:NJ134">
    <cfRule type="beginsWith" dxfId="3834" priority="6769" operator="beginsWith" text="M-W">
      <formula>LEFT(G132,LEN("M-W"))="M-W"</formula>
    </cfRule>
  </conditionalFormatting>
  <conditionalFormatting sqref="G129:NJ131">
    <cfRule type="beginsWith" dxfId="3833" priority="6689" operator="beginsWith" text="M">
      <formula>LEFT(G129,LEN("M"))="M"</formula>
    </cfRule>
  </conditionalFormatting>
  <conditionalFormatting sqref="G129:NJ131">
    <cfRule type="beginsWith" dxfId="3832" priority="6687" operator="beginsWith" text="Is-MB">
      <formula>LEFT(G129,LEN("Is-MB"))="Is-MB"</formula>
    </cfRule>
  </conditionalFormatting>
  <conditionalFormatting sqref="G129:NJ131">
    <cfRule type="beginsWith" dxfId="3831" priority="6686" operator="beginsWith" text="Y">
      <formula>LEFT(G129,LEN("Y"))="Y"</formula>
    </cfRule>
  </conditionalFormatting>
  <conditionalFormatting sqref="G129:NJ131">
    <cfRule type="beginsWith" dxfId="3830" priority="6685" operator="beginsWith" text="M-FP">
      <formula>LEFT(G129,LEN("M-FP"))="M-FP"</formula>
    </cfRule>
  </conditionalFormatting>
  <conditionalFormatting sqref="G129:NJ131">
    <cfRule type="beginsWith" dxfId="3829" priority="6684" operator="beginsWith" text="ME">
      <formula>LEFT(G129,LEN("ME"))="ME"</formula>
    </cfRule>
  </conditionalFormatting>
  <conditionalFormatting sqref="G129:NJ131">
    <cfRule type="beginsWith" dxfId="3828" priority="6683" operator="beginsWith" text="ME-TL">
      <formula>LEFT(G129,LEN("ME-TL"))="ME-TL"</formula>
    </cfRule>
  </conditionalFormatting>
  <conditionalFormatting sqref="G129:NJ131">
    <cfRule type="beginsWith" dxfId="3827" priority="6682" operator="beginsWith" text="M-W">
      <formula>LEFT(G129,LEN("M-W"))="M-W"</formula>
    </cfRule>
  </conditionalFormatting>
  <conditionalFormatting sqref="G126:NJ128">
    <cfRule type="beginsWith" dxfId="3826" priority="6602" operator="beginsWith" text="M">
      <formula>LEFT(G126,LEN("M"))="M"</formula>
    </cfRule>
  </conditionalFormatting>
  <conditionalFormatting sqref="G126:NJ128">
    <cfRule type="beginsWith" dxfId="3825" priority="6600" operator="beginsWith" text="Is-MB">
      <formula>LEFT(G126,LEN("Is-MB"))="Is-MB"</formula>
    </cfRule>
  </conditionalFormatting>
  <conditionalFormatting sqref="G126:NJ128">
    <cfRule type="beginsWith" dxfId="3824" priority="6599" operator="beginsWith" text="Y">
      <formula>LEFT(G126,LEN("Y"))="Y"</formula>
    </cfRule>
  </conditionalFormatting>
  <conditionalFormatting sqref="G126:NJ128">
    <cfRule type="beginsWith" dxfId="3823" priority="6598" operator="beginsWith" text="M-FP">
      <formula>LEFT(G126,LEN("M-FP"))="M-FP"</formula>
    </cfRule>
  </conditionalFormatting>
  <conditionalFormatting sqref="G126:NJ128">
    <cfRule type="beginsWith" dxfId="3822" priority="6597" operator="beginsWith" text="ME">
      <formula>LEFT(G126,LEN("ME"))="ME"</formula>
    </cfRule>
  </conditionalFormatting>
  <conditionalFormatting sqref="G126:NJ128">
    <cfRule type="beginsWith" dxfId="3821" priority="6596" operator="beginsWith" text="ME-TL">
      <formula>LEFT(G126,LEN("ME-TL"))="ME-TL"</formula>
    </cfRule>
  </conditionalFormatting>
  <conditionalFormatting sqref="G126:NJ128">
    <cfRule type="beginsWith" dxfId="3820" priority="6595" operator="beginsWith" text="M-W">
      <formula>LEFT(G126,LEN("M-W"))="M-W"</formula>
    </cfRule>
  </conditionalFormatting>
  <conditionalFormatting sqref="G123:NJ125">
    <cfRule type="beginsWith" dxfId="3819" priority="6515" operator="beginsWith" text="M">
      <formula>LEFT(G123,LEN("M"))="M"</formula>
    </cfRule>
  </conditionalFormatting>
  <conditionalFormatting sqref="G123:NJ125">
    <cfRule type="beginsWith" dxfId="3818" priority="6513" operator="beginsWith" text="Is-MB">
      <formula>LEFT(G123,LEN("Is-MB"))="Is-MB"</formula>
    </cfRule>
  </conditionalFormatting>
  <conditionalFormatting sqref="G123:NJ125">
    <cfRule type="beginsWith" dxfId="3817" priority="6512" operator="beginsWith" text="Y">
      <formula>LEFT(G123,LEN("Y"))="Y"</formula>
    </cfRule>
  </conditionalFormatting>
  <conditionalFormatting sqref="G123:NJ125">
    <cfRule type="beginsWith" dxfId="3816" priority="6511" operator="beginsWith" text="M-FP">
      <formula>LEFT(G123,LEN("M-FP"))="M-FP"</formula>
    </cfRule>
  </conditionalFormatting>
  <conditionalFormatting sqref="G123:NJ125">
    <cfRule type="beginsWith" dxfId="3815" priority="6510" operator="beginsWith" text="ME">
      <formula>LEFT(G123,LEN("ME"))="ME"</formula>
    </cfRule>
  </conditionalFormatting>
  <conditionalFormatting sqref="G123:NJ125">
    <cfRule type="beginsWith" dxfId="3814" priority="6509" operator="beginsWith" text="ME-TL">
      <formula>LEFT(G123,LEN("ME-TL"))="ME-TL"</formula>
    </cfRule>
  </conditionalFormatting>
  <conditionalFormatting sqref="G123:NJ125">
    <cfRule type="beginsWith" dxfId="3813" priority="6508" operator="beginsWith" text="M-W">
      <formula>LEFT(G123,LEN("M-W"))="M-W"</formula>
    </cfRule>
  </conditionalFormatting>
  <conditionalFormatting sqref="G119:NJ121">
    <cfRule type="beginsWith" dxfId="3812" priority="6428" operator="beginsWith" text="M">
      <formula>LEFT(G119,LEN("M"))="M"</formula>
    </cfRule>
  </conditionalFormatting>
  <conditionalFormatting sqref="G119:NJ121">
    <cfRule type="beginsWith" dxfId="3811" priority="6426" operator="beginsWith" text="Is-MB">
      <formula>LEFT(G119,LEN("Is-MB"))="Is-MB"</formula>
    </cfRule>
  </conditionalFormatting>
  <conditionalFormatting sqref="G119:NJ121">
    <cfRule type="beginsWith" dxfId="3810" priority="6425" operator="beginsWith" text="Y">
      <formula>LEFT(G119,LEN("Y"))="Y"</formula>
    </cfRule>
  </conditionalFormatting>
  <conditionalFormatting sqref="G119:NJ121">
    <cfRule type="beginsWith" dxfId="3809" priority="6424" operator="beginsWith" text="M-FP">
      <formula>LEFT(G119,LEN("M-FP"))="M-FP"</formula>
    </cfRule>
  </conditionalFormatting>
  <conditionalFormatting sqref="G119:NJ121">
    <cfRule type="beginsWith" dxfId="3808" priority="6423" operator="beginsWith" text="ME">
      <formula>LEFT(G119,LEN("ME"))="ME"</formula>
    </cfRule>
  </conditionalFormatting>
  <conditionalFormatting sqref="G119:NJ121">
    <cfRule type="beginsWith" dxfId="3807" priority="6422" operator="beginsWith" text="ME-TL">
      <formula>LEFT(G119,LEN("ME-TL"))="ME-TL"</formula>
    </cfRule>
  </conditionalFormatting>
  <conditionalFormatting sqref="G119:NJ121">
    <cfRule type="beginsWith" dxfId="3806" priority="6421" operator="beginsWith" text="M-W">
      <formula>LEFT(G119,LEN("M-W"))="M-W"</formula>
    </cfRule>
  </conditionalFormatting>
  <conditionalFormatting sqref="G115:NJ117">
    <cfRule type="beginsWith" dxfId="3805" priority="6341" operator="beginsWith" text="M">
      <formula>LEFT(G115,LEN("M"))="M"</formula>
    </cfRule>
  </conditionalFormatting>
  <conditionalFormatting sqref="G115:NJ117">
    <cfRule type="beginsWith" dxfId="3804" priority="6339" operator="beginsWith" text="Is-MB">
      <formula>LEFT(G115,LEN("Is-MB"))="Is-MB"</formula>
    </cfRule>
  </conditionalFormatting>
  <conditionalFormatting sqref="G115:NJ117">
    <cfRule type="beginsWith" dxfId="3803" priority="6338" operator="beginsWith" text="Y">
      <formula>LEFT(G115,LEN("Y"))="Y"</formula>
    </cfRule>
  </conditionalFormatting>
  <conditionalFormatting sqref="G115:NJ117">
    <cfRule type="beginsWith" dxfId="3802" priority="6337" operator="beginsWith" text="M-FP">
      <formula>LEFT(G115,LEN("M-FP"))="M-FP"</formula>
    </cfRule>
  </conditionalFormatting>
  <conditionalFormatting sqref="G115:NJ117">
    <cfRule type="beginsWith" dxfId="3801" priority="6336" operator="beginsWith" text="ME">
      <formula>LEFT(G115,LEN("ME"))="ME"</formula>
    </cfRule>
  </conditionalFormatting>
  <conditionalFormatting sqref="G115:NJ117">
    <cfRule type="beginsWith" dxfId="3800" priority="6335" operator="beginsWith" text="ME-TL">
      <formula>LEFT(G115,LEN("ME-TL"))="ME-TL"</formula>
    </cfRule>
  </conditionalFormatting>
  <conditionalFormatting sqref="G115:NJ117">
    <cfRule type="beginsWith" dxfId="3799" priority="6334" operator="beginsWith" text="M-W">
      <formula>LEFT(G115,LEN("M-W"))="M-W"</formula>
    </cfRule>
  </conditionalFormatting>
  <conditionalFormatting sqref="G111:NJ113">
    <cfRule type="beginsWith" dxfId="3798" priority="6254" operator="beginsWith" text="M">
      <formula>LEFT(G111,LEN("M"))="M"</formula>
    </cfRule>
  </conditionalFormatting>
  <conditionalFormatting sqref="G111:NJ113">
    <cfRule type="beginsWith" dxfId="3797" priority="6252" operator="beginsWith" text="Is-MB">
      <formula>LEFT(G111,LEN("Is-MB"))="Is-MB"</formula>
    </cfRule>
  </conditionalFormatting>
  <conditionalFormatting sqref="G111:NJ113">
    <cfRule type="beginsWith" dxfId="3796" priority="6251" operator="beginsWith" text="Y">
      <formula>LEFT(G111,LEN("Y"))="Y"</formula>
    </cfRule>
  </conditionalFormatting>
  <conditionalFormatting sqref="G111:NJ113">
    <cfRule type="beginsWith" dxfId="3795" priority="6250" operator="beginsWith" text="M-FP">
      <formula>LEFT(G111,LEN("M-FP"))="M-FP"</formula>
    </cfRule>
  </conditionalFormatting>
  <conditionalFormatting sqref="G111:NJ113">
    <cfRule type="beginsWith" dxfId="3794" priority="6249" operator="beginsWith" text="ME">
      <formula>LEFT(G111,LEN("ME"))="ME"</formula>
    </cfRule>
  </conditionalFormatting>
  <conditionalFormatting sqref="G111:NJ113">
    <cfRule type="beginsWith" dxfId="3793" priority="6248" operator="beginsWith" text="ME-TL">
      <formula>LEFT(G111,LEN("ME-TL"))="ME-TL"</formula>
    </cfRule>
  </conditionalFormatting>
  <conditionalFormatting sqref="G111:NJ113">
    <cfRule type="beginsWith" dxfId="3792" priority="6247" operator="beginsWith" text="M-W">
      <formula>LEFT(G111,LEN("M-W"))="M-W"</formula>
    </cfRule>
  </conditionalFormatting>
  <conditionalFormatting sqref="G107:NJ109">
    <cfRule type="beginsWith" dxfId="3791" priority="6167" operator="beginsWith" text="M">
      <formula>LEFT(G107,LEN("M"))="M"</formula>
    </cfRule>
  </conditionalFormatting>
  <conditionalFormatting sqref="G107:NJ109">
    <cfRule type="beginsWith" dxfId="3790" priority="6165" operator="beginsWith" text="Is-MB">
      <formula>LEFT(G107,LEN("Is-MB"))="Is-MB"</formula>
    </cfRule>
  </conditionalFormatting>
  <conditionalFormatting sqref="G107:NJ109">
    <cfRule type="beginsWith" dxfId="3789" priority="6164" operator="beginsWith" text="Y">
      <formula>LEFT(G107,LEN("Y"))="Y"</formula>
    </cfRule>
  </conditionalFormatting>
  <conditionalFormatting sqref="G107:NJ109">
    <cfRule type="beginsWith" dxfId="3788" priority="6163" operator="beginsWith" text="M-FP">
      <formula>LEFT(G107,LEN("M-FP"))="M-FP"</formula>
    </cfRule>
  </conditionalFormatting>
  <conditionalFormatting sqref="G107:NJ109">
    <cfRule type="beginsWith" dxfId="3787" priority="6162" operator="beginsWith" text="ME">
      <formula>LEFT(G107,LEN("ME"))="ME"</formula>
    </cfRule>
  </conditionalFormatting>
  <conditionalFormatting sqref="G107:NJ109">
    <cfRule type="beginsWith" dxfId="3786" priority="6161" operator="beginsWith" text="ME-TL">
      <formula>LEFT(G107,LEN("ME-TL"))="ME-TL"</formula>
    </cfRule>
  </conditionalFormatting>
  <conditionalFormatting sqref="G107:NJ109">
    <cfRule type="beginsWith" dxfId="3785" priority="6160" operator="beginsWith" text="M-W">
      <formula>LEFT(G107,LEN("M-W"))="M-W"</formula>
    </cfRule>
  </conditionalFormatting>
  <conditionalFormatting sqref="G103:NJ105">
    <cfRule type="beginsWith" dxfId="3784" priority="6080" operator="beginsWith" text="M">
      <formula>LEFT(G103,LEN("M"))="M"</formula>
    </cfRule>
  </conditionalFormatting>
  <conditionalFormatting sqref="G103:NJ105">
    <cfRule type="beginsWith" dxfId="3783" priority="6078" operator="beginsWith" text="Is-MB">
      <formula>LEFT(G103,LEN("Is-MB"))="Is-MB"</formula>
    </cfRule>
  </conditionalFormatting>
  <conditionalFormatting sqref="G103:NJ105">
    <cfRule type="beginsWith" dxfId="3782" priority="6077" operator="beginsWith" text="Y">
      <formula>LEFT(G103,LEN("Y"))="Y"</formula>
    </cfRule>
  </conditionalFormatting>
  <conditionalFormatting sqref="G103:NJ105">
    <cfRule type="beginsWith" dxfId="3781" priority="6076" operator="beginsWith" text="M-FP">
      <formula>LEFT(G103,LEN("M-FP"))="M-FP"</formula>
    </cfRule>
  </conditionalFormatting>
  <conditionalFormatting sqref="G103:NJ105">
    <cfRule type="beginsWith" dxfId="3780" priority="6075" operator="beginsWith" text="ME">
      <formula>LEFT(G103,LEN("ME"))="ME"</formula>
    </cfRule>
  </conditionalFormatting>
  <conditionalFormatting sqref="G103:NJ105">
    <cfRule type="beginsWith" dxfId="3779" priority="6074" operator="beginsWith" text="ME-TL">
      <formula>LEFT(G103,LEN("ME-TL"))="ME-TL"</formula>
    </cfRule>
  </conditionalFormatting>
  <conditionalFormatting sqref="G103:NJ105">
    <cfRule type="beginsWith" dxfId="3778" priority="6073" operator="beginsWith" text="M-W">
      <formula>LEFT(G103,LEN("M-W"))="M-W"</formula>
    </cfRule>
  </conditionalFormatting>
  <conditionalFormatting sqref="G99:NJ101">
    <cfRule type="beginsWith" dxfId="3777" priority="5993" operator="beginsWith" text="M">
      <formula>LEFT(G99,LEN("M"))="M"</formula>
    </cfRule>
  </conditionalFormatting>
  <conditionalFormatting sqref="G99:NJ101">
    <cfRule type="beginsWith" dxfId="3776" priority="5991" operator="beginsWith" text="Is-MB">
      <formula>LEFT(G99,LEN("Is-MB"))="Is-MB"</formula>
    </cfRule>
  </conditionalFormatting>
  <conditionalFormatting sqref="G99:NJ101">
    <cfRule type="beginsWith" dxfId="3775" priority="5990" operator="beginsWith" text="Y">
      <formula>LEFT(G99,LEN("Y"))="Y"</formula>
    </cfRule>
  </conditionalFormatting>
  <conditionalFormatting sqref="G99:NJ101">
    <cfRule type="beginsWith" dxfId="3774" priority="5989" operator="beginsWith" text="M-FP">
      <formula>LEFT(G99,LEN("M-FP"))="M-FP"</formula>
    </cfRule>
  </conditionalFormatting>
  <conditionalFormatting sqref="G99:NJ101">
    <cfRule type="beginsWith" dxfId="3773" priority="5988" operator="beginsWith" text="ME">
      <formula>LEFT(G99,LEN("ME"))="ME"</formula>
    </cfRule>
  </conditionalFormatting>
  <conditionalFormatting sqref="G99:NJ101">
    <cfRule type="beginsWith" dxfId="3772" priority="5987" operator="beginsWith" text="ME-TL">
      <formula>LEFT(G99,LEN("ME-TL"))="ME-TL"</formula>
    </cfRule>
  </conditionalFormatting>
  <conditionalFormatting sqref="G99:NJ101">
    <cfRule type="beginsWith" dxfId="3771" priority="5986" operator="beginsWith" text="M-W">
      <formula>LEFT(G99,LEN("M-W"))="M-W"</formula>
    </cfRule>
  </conditionalFormatting>
  <conditionalFormatting sqref="G95:NJ97">
    <cfRule type="beginsWith" dxfId="3770" priority="5906" operator="beginsWith" text="M">
      <formula>LEFT(G95,LEN("M"))="M"</formula>
    </cfRule>
  </conditionalFormatting>
  <conditionalFormatting sqref="G95:NJ97">
    <cfRule type="beginsWith" dxfId="3769" priority="5904" operator="beginsWith" text="Is-MB">
      <formula>LEFT(G95,LEN("Is-MB"))="Is-MB"</formula>
    </cfRule>
  </conditionalFormatting>
  <conditionalFormatting sqref="G95:NJ97">
    <cfRule type="beginsWith" dxfId="3768" priority="5903" operator="beginsWith" text="Y">
      <formula>LEFT(G95,LEN("Y"))="Y"</formula>
    </cfRule>
  </conditionalFormatting>
  <conditionalFormatting sqref="G95:NJ97">
    <cfRule type="beginsWith" dxfId="3767" priority="5902" operator="beginsWith" text="M-FP">
      <formula>LEFT(G95,LEN("M-FP"))="M-FP"</formula>
    </cfRule>
  </conditionalFormatting>
  <conditionalFormatting sqref="G95:NJ97">
    <cfRule type="beginsWith" dxfId="3766" priority="5901" operator="beginsWith" text="ME">
      <formula>LEFT(G95,LEN("ME"))="ME"</formula>
    </cfRule>
  </conditionalFormatting>
  <conditionalFormatting sqref="G95:NJ97">
    <cfRule type="beginsWith" dxfId="3765" priority="5900" operator="beginsWith" text="ME-TL">
      <formula>LEFT(G95,LEN("ME-TL"))="ME-TL"</formula>
    </cfRule>
  </conditionalFormatting>
  <conditionalFormatting sqref="G95:NJ97">
    <cfRule type="beginsWith" dxfId="3764" priority="5899" operator="beginsWith" text="M-W">
      <formula>LEFT(G95,LEN("M-W"))="M-W"</formula>
    </cfRule>
  </conditionalFormatting>
  <conditionalFormatting sqref="G91:NJ93">
    <cfRule type="beginsWith" dxfId="3763" priority="5819" operator="beginsWith" text="M">
      <formula>LEFT(G91,LEN("M"))="M"</formula>
    </cfRule>
  </conditionalFormatting>
  <conditionalFormatting sqref="G91:NJ93">
    <cfRule type="beginsWith" dxfId="3762" priority="5817" operator="beginsWith" text="Is-MB">
      <formula>LEFT(G91,LEN("Is-MB"))="Is-MB"</formula>
    </cfRule>
  </conditionalFormatting>
  <conditionalFormatting sqref="G91:NJ93">
    <cfRule type="beginsWith" dxfId="3761" priority="5816" operator="beginsWith" text="Y">
      <formula>LEFT(G91,LEN("Y"))="Y"</formula>
    </cfRule>
  </conditionalFormatting>
  <conditionalFormatting sqref="G91:NJ93">
    <cfRule type="beginsWith" dxfId="3760" priority="5815" operator="beginsWith" text="M-FP">
      <formula>LEFT(G91,LEN("M-FP"))="M-FP"</formula>
    </cfRule>
  </conditionalFormatting>
  <conditionalFormatting sqref="G91:NJ93">
    <cfRule type="beginsWith" dxfId="3759" priority="5814" operator="beginsWith" text="ME">
      <formula>LEFT(G91,LEN("ME"))="ME"</formula>
    </cfRule>
  </conditionalFormatting>
  <conditionalFormatting sqref="G91:NJ93">
    <cfRule type="beginsWith" dxfId="3758" priority="5813" operator="beginsWith" text="ME-TL">
      <formula>LEFT(G91,LEN("ME-TL"))="ME-TL"</formula>
    </cfRule>
  </conditionalFormatting>
  <conditionalFormatting sqref="G91:NJ93">
    <cfRule type="beginsWith" dxfId="3757" priority="5812" operator="beginsWith" text="M-W">
      <formula>LEFT(G91,LEN("M-W"))="M-W"</formula>
    </cfRule>
  </conditionalFormatting>
  <conditionalFormatting sqref="G87:NJ89">
    <cfRule type="beginsWith" dxfId="3756" priority="5732" operator="beginsWith" text="M">
      <formula>LEFT(G87,LEN("M"))="M"</formula>
    </cfRule>
  </conditionalFormatting>
  <conditionalFormatting sqref="G87:NJ89">
    <cfRule type="beginsWith" dxfId="3755" priority="5730" operator="beginsWith" text="Is-MB">
      <formula>LEFT(G87,LEN("Is-MB"))="Is-MB"</formula>
    </cfRule>
  </conditionalFormatting>
  <conditionalFormatting sqref="G87:NJ89">
    <cfRule type="beginsWith" dxfId="3754" priority="5729" operator="beginsWith" text="Y">
      <formula>LEFT(G87,LEN("Y"))="Y"</formula>
    </cfRule>
  </conditionalFormatting>
  <conditionalFormatting sqref="G87:NJ89">
    <cfRule type="beginsWith" dxfId="3753" priority="5728" operator="beginsWith" text="M-FP">
      <formula>LEFT(G87,LEN("M-FP"))="M-FP"</formula>
    </cfRule>
  </conditionalFormatting>
  <conditionalFormatting sqref="G87:NJ89">
    <cfRule type="beginsWith" dxfId="3752" priority="5727" operator="beginsWith" text="ME">
      <formula>LEFT(G87,LEN("ME"))="ME"</formula>
    </cfRule>
  </conditionalFormatting>
  <conditionalFormatting sqref="G87:NJ89">
    <cfRule type="beginsWith" dxfId="3751" priority="5726" operator="beginsWith" text="ME-TL">
      <formula>LEFT(G87,LEN("ME-TL"))="ME-TL"</formula>
    </cfRule>
  </conditionalFormatting>
  <conditionalFormatting sqref="G87:NJ89">
    <cfRule type="beginsWith" dxfId="3750" priority="5725" operator="beginsWith" text="M-W">
      <formula>LEFT(G87,LEN("M-W"))="M-W"</formula>
    </cfRule>
  </conditionalFormatting>
  <conditionalFormatting sqref="G83:NJ85">
    <cfRule type="beginsWith" dxfId="3749" priority="5645" operator="beginsWith" text="M">
      <formula>LEFT(G83,LEN("M"))="M"</formula>
    </cfRule>
  </conditionalFormatting>
  <conditionalFormatting sqref="G83:NJ85">
    <cfRule type="beginsWith" dxfId="3748" priority="5643" operator="beginsWith" text="Is-MB">
      <formula>LEFT(G83,LEN("Is-MB"))="Is-MB"</formula>
    </cfRule>
  </conditionalFormatting>
  <conditionalFormatting sqref="G83:NJ85">
    <cfRule type="beginsWith" dxfId="3747" priority="5642" operator="beginsWith" text="Y">
      <formula>LEFT(G83,LEN("Y"))="Y"</formula>
    </cfRule>
  </conditionalFormatting>
  <conditionalFormatting sqref="G83:NJ85">
    <cfRule type="beginsWith" dxfId="3746" priority="5641" operator="beginsWith" text="M-FP">
      <formula>LEFT(G83,LEN("M-FP"))="M-FP"</formula>
    </cfRule>
  </conditionalFormatting>
  <conditionalFormatting sqref="G83:NJ85">
    <cfRule type="beginsWith" dxfId="3745" priority="5640" operator="beginsWith" text="ME">
      <formula>LEFT(G83,LEN("ME"))="ME"</formula>
    </cfRule>
  </conditionalFormatting>
  <conditionalFormatting sqref="G83:NJ85">
    <cfRule type="beginsWith" dxfId="3744" priority="5639" operator="beginsWith" text="ME-TL">
      <formula>LEFT(G83,LEN("ME-TL"))="ME-TL"</formula>
    </cfRule>
  </conditionalFormatting>
  <conditionalFormatting sqref="G83:NJ85">
    <cfRule type="beginsWith" dxfId="3743" priority="5638" operator="beginsWith" text="M-W">
      <formula>LEFT(G83,LEN("M-W"))="M-W"</formula>
    </cfRule>
  </conditionalFormatting>
  <conditionalFormatting sqref="G79:NJ81">
    <cfRule type="beginsWith" dxfId="3742" priority="5558" operator="beginsWith" text="M">
      <formula>LEFT(G79,LEN("M"))="M"</formula>
    </cfRule>
  </conditionalFormatting>
  <conditionalFormatting sqref="G79:NJ81">
    <cfRule type="beginsWith" dxfId="3741" priority="5556" operator="beginsWith" text="Is-MB">
      <formula>LEFT(G79,LEN("Is-MB"))="Is-MB"</formula>
    </cfRule>
  </conditionalFormatting>
  <conditionalFormatting sqref="G79:NJ81">
    <cfRule type="beginsWith" dxfId="3740" priority="5555" operator="beginsWith" text="Y">
      <formula>LEFT(G79,LEN("Y"))="Y"</formula>
    </cfRule>
  </conditionalFormatting>
  <conditionalFormatting sqref="G79:NJ81">
    <cfRule type="beginsWith" dxfId="3739" priority="5554" operator="beginsWith" text="M-FP">
      <formula>LEFT(G79,LEN("M-FP"))="M-FP"</formula>
    </cfRule>
  </conditionalFormatting>
  <conditionalFormatting sqref="G79:NJ81">
    <cfRule type="beginsWith" dxfId="3738" priority="5553" operator="beginsWith" text="ME">
      <formula>LEFT(G79,LEN("ME"))="ME"</formula>
    </cfRule>
  </conditionalFormatting>
  <conditionalFormatting sqref="G79:NJ81">
    <cfRule type="beginsWith" dxfId="3737" priority="5552" operator="beginsWith" text="ME-TL">
      <formula>LEFT(G79,LEN("ME-TL"))="ME-TL"</formula>
    </cfRule>
  </conditionalFormatting>
  <conditionalFormatting sqref="G79:NJ81">
    <cfRule type="beginsWith" dxfId="3736" priority="5551" operator="beginsWith" text="M-W">
      <formula>LEFT(G79,LEN("M-W"))="M-W"</formula>
    </cfRule>
  </conditionalFormatting>
  <conditionalFormatting sqref="G75:NJ77">
    <cfRule type="beginsWith" dxfId="3735" priority="5471" operator="beginsWith" text="M">
      <formula>LEFT(G75,LEN("M"))="M"</formula>
    </cfRule>
  </conditionalFormatting>
  <conditionalFormatting sqref="G75:NJ77">
    <cfRule type="beginsWith" dxfId="3734" priority="5469" operator="beginsWith" text="Is-MB">
      <formula>LEFT(G75,LEN("Is-MB"))="Is-MB"</formula>
    </cfRule>
  </conditionalFormatting>
  <conditionalFormatting sqref="G75:NJ77">
    <cfRule type="beginsWith" dxfId="3733" priority="5468" operator="beginsWith" text="Y">
      <formula>LEFT(G75,LEN("Y"))="Y"</formula>
    </cfRule>
  </conditionalFormatting>
  <conditionalFormatting sqref="G75:NJ77">
    <cfRule type="beginsWith" dxfId="3732" priority="5467" operator="beginsWith" text="M-FP">
      <formula>LEFT(G75,LEN("M-FP"))="M-FP"</formula>
    </cfRule>
  </conditionalFormatting>
  <conditionalFormatting sqref="G75:NJ77">
    <cfRule type="beginsWith" dxfId="3731" priority="5466" operator="beginsWith" text="ME">
      <formula>LEFT(G75,LEN("ME"))="ME"</formula>
    </cfRule>
  </conditionalFormatting>
  <conditionalFormatting sqref="G75:NJ77">
    <cfRule type="beginsWith" dxfId="3730" priority="5465" operator="beginsWith" text="ME-TL">
      <formula>LEFT(G75,LEN("ME-TL"))="ME-TL"</formula>
    </cfRule>
  </conditionalFormatting>
  <conditionalFormatting sqref="G75:NJ77">
    <cfRule type="beginsWith" dxfId="3729" priority="5464" operator="beginsWith" text="M-W">
      <formula>LEFT(G75,LEN("M-W"))="M-W"</formula>
    </cfRule>
  </conditionalFormatting>
  <conditionalFormatting sqref="G71:NJ73">
    <cfRule type="beginsWith" dxfId="3728" priority="5384" operator="beginsWith" text="M">
      <formula>LEFT(G71,LEN("M"))="M"</formula>
    </cfRule>
  </conditionalFormatting>
  <conditionalFormatting sqref="G71:NJ73">
    <cfRule type="beginsWith" dxfId="3727" priority="5382" operator="beginsWith" text="Is-MB">
      <formula>LEFT(G71,LEN("Is-MB"))="Is-MB"</formula>
    </cfRule>
  </conditionalFormatting>
  <conditionalFormatting sqref="G71:NJ73">
    <cfRule type="beginsWith" dxfId="3726" priority="5381" operator="beginsWith" text="Y">
      <formula>LEFT(G71,LEN("Y"))="Y"</formula>
    </cfRule>
  </conditionalFormatting>
  <conditionalFormatting sqref="G71:NJ73">
    <cfRule type="beginsWith" dxfId="3725" priority="5380" operator="beginsWith" text="M-FP">
      <formula>LEFT(G71,LEN("M-FP"))="M-FP"</formula>
    </cfRule>
  </conditionalFormatting>
  <conditionalFormatting sqref="G71:NJ73">
    <cfRule type="beginsWith" dxfId="3724" priority="5379" operator="beginsWith" text="ME">
      <formula>LEFT(G71,LEN("ME"))="ME"</formula>
    </cfRule>
  </conditionalFormatting>
  <conditionalFormatting sqref="G71:NJ73">
    <cfRule type="beginsWith" dxfId="3723" priority="5378" operator="beginsWith" text="ME-TL">
      <formula>LEFT(G71,LEN("ME-TL"))="ME-TL"</formula>
    </cfRule>
  </conditionalFormatting>
  <conditionalFormatting sqref="G71:NJ73">
    <cfRule type="beginsWith" dxfId="3722" priority="5377" operator="beginsWith" text="M-W">
      <formula>LEFT(G71,LEN("M-W"))="M-W"</formula>
    </cfRule>
  </conditionalFormatting>
  <conditionalFormatting sqref="G67:NJ69">
    <cfRule type="beginsWith" dxfId="3721" priority="5297" operator="beginsWith" text="M">
      <formula>LEFT(G67,LEN("M"))="M"</formula>
    </cfRule>
  </conditionalFormatting>
  <conditionalFormatting sqref="G67:NJ69">
    <cfRule type="beginsWith" dxfId="3720" priority="5295" operator="beginsWith" text="Is-MB">
      <formula>LEFT(G67,LEN("Is-MB"))="Is-MB"</formula>
    </cfRule>
  </conditionalFormatting>
  <conditionalFormatting sqref="G67:NJ69">
    <cfRule type="beginsWith" dxfId="3719" priority="5294" operator="beginsWith" text="Y">
      <formula>LEFT(G67,LEN("Y"))="Y"</formula>
    </cfRule>
  </conditionalFormatting>
  <conditionalFormatting sqref="G67:NJ69">
    <cfRule type="beginsWith" dxfId="3718" priority="5293" operator="beginsWith" text="M-FP">
      <formula>LEFT(G67,LEN("M-FP"))="M-FP"</formula>
    </cfRule>
  </conditionalFormatting>
  <conditionalFormatting sqref="G67:NJ69">
    <cfRule type="beginsWith" dxfId="3717" priority="5292" operator="beginsWith" text="ME">
      <formula>LEFT(G67,LEN("ME"))="ME"</formula>
    </cfRule>
  </conditionalFormatting>
  <conditionalFormatting sqref="G67:NJ69">
    <cfRule type="beginsWith" dxfId="3716" priority="5291" operator="beginsWith" text="ME-TL">
      <formula>LEFT(G67,LEN("ME-TL"))="ME-TL"</formula>
    </cfRule>
  </conditionalFormatting>
  <conditionalFormatting sqref="G67:NJ69">
    <cfRule type="beginsWith" dxfId="3715" priority="5290" operator="beginsWith" text="M-W">
      <formula>LEFT(G67,LEN("M-W"))="M-W"</formula>
    </cfRule>
  </conditionalFormatting>
  <conditionalFormatting sqref="G63:NJ65">
    <cfRule type="beginsWith" dxfId="3714" priority="5210" operator="beginsWith" text="M">
      <formula>LEFT(G63,LEN("M"))="M"</formula>
    </cfRule>
  </conditionalFormatting>
  <conditionalFormatting sqref="G63:NJ65">
    <cfRule type="beginsWith" dxfId="3713" priority="5208" operator="beginsWith" text="Is-MB">
      <formula>LEFT(G63,LEN("Is-MB"))="Is-MB"</formula>
    </cfRule>
  </conditionalFormatting>
  <conditionalFormatting sqref="G63:NJ65">
    <cfRule type="beginsWith" dxfId="3712" priority="5207" operator="beginsWith" text="Y">
      <formula>LEFT(G63,LEN("Y"))="Y"</formula>
    </cfRule>
  </conditionalFormatting>
  <conditionalFormatting sqref="G63:NJ65">
    <cfRule type="beginsWith" dxfId="3711" priority="5206" operator="beginsWith" text="M-FP">
      <formula>LEFT(G63,LEN("M-FP"))="M-FP"</formula>
    </cfRule>
  </conditionalFormatting>
  <conditionalFormatting sqref="G63:NJ65">
    <cfRule type="beginsWith" dxfId="3710" priority="5205" operator="beginsWith" text="ME">
      <formula>LEFT(G63,LEN("ME"))="ME"</formula>
    </cfRule>
  </conditionalFormatting>
  <conditionalFormatting sqref="G63:NJ65">
    <cfRule type="beginsWith" dxfId="3709" priority="5204" operator="beginsWith" text="ME-TL">
      <formula>LEFT(G63,LEN("ME-TL"))="ME-TL"</formula>
    </cfRule>
  </conditionalFormatting>
  <conditionalFormatting sqref="G63:NJ65">
    <cfRule type="beginsWith" dxfId="3708" priority="5203" operator="beginsWith" text="M-W">
      <formula>LEFT(G63,LEN("M-W"))="M-W"</formula>
    </cfRule>
  </conditionalFormatting>
  <conditionalFormatting sqref="G59:NJ61">
    <cfRule type="beginsWith" dxfId="3707" priority="5123" operator="beginsWith" text="M">
      <formula>LEFT(G59,LEN("M"))="M"</formula>
    </cfRule>
  </conditionalFormatting>
  <conditionalFormatting sqref="G59:NJ61">
    <cfRule type="beginsWith" dxfId="3706" priority="5121" operator="beginsWith" text="Is-MB">
      <formula>LEFT(G59,LEN("Is-MB"))="Is-MB"</formula>
    </cfRule>
  </conditionalFormatting>
  <conditionalFormatting sqref="G59:NJ61">
    <cfRule type="beginsWith" dxfId="3705" priority="5120" operator="beginsWith" text="Y">
      <formula>LEFT(G59,LEN("Y"))="Y"</formula>
    </cfRule>
  </conditionalFormatting>
  <conditionalFormatting sqref="G59:NJ61">
    <cfRule type="beginsWith" dxfId="3704" priority="5119" operator="beginsWith" text="M-FP">
      <formula>LEFT(G59,LEN("M-FP"))="M-FP"</formula>
    </cfRule>
  </conditionalFormatting>
  <conditionalFormatting sqref="G59:NJ61">
    <cfRule type="beginsWith" dxfId="3703" priority="5118" operator="beginsWith" text="ME">
      <formula>LEFT(G59,LEN("ME"))="ME"</formula>
    </cfRule>
  </conditionalFormatting>
  <conditionalFormatting sqref="G59:NJ61">
    <cfRule type="beginsWith" dxfId="3702" priority="5117" operator="beginsWith" text="ME-TL">
      <formula>LEFT(G59,LEN("ME-TL"))="ME-TL"</formula>
    </cfRule>
  </conditionalFormatting>
  <conditionalFormatting sqref="G59:NJ61">
    <cfRule type="beginsWith" dxfId="3701" priority="5116" operator="beginsWith" text="M-W">
      <formula>LEFT(G59,LEN("M-W"))="M-W"</formula>
    </cfRule>
  </conditionalFormatting>
  <conditionalFormatting sqref="G55:NJ57">
    <cfRule type="beginsWith" dxfId="3700" priority="5036" operator="beginsWith" text="M">
      <formula>LEFT(G55,LEN("M"))="M"</formula>
    </cfRule>
  </conditionalFormatting>
  <conditionalFormatting sqref="G55:NJ57">
    <cfRule type="beginsWith" dxfId="3699" priority="5034" operator="beginsWith" text="Is-MB">
      <formula>LEFT(G55,LEN("Is-MB"))="Is-MB"</formula>
    </cfRule>
  </conditionalFormatting>
  <conditionalFormatting sqref="G55:NJ57">
    <cfRule type="beginsWith" dxfId="3698" priority="5033" operator="beginsWith" text="Y">
      <formula>LEFT(G55,LEN("Y"))="Y"</formula>
    </cfRule>
  </conditionalFormatting>
  <conditionalFormatting sqref="G55:NJ57">
    <cfRule type="beginsWith" dxfId="3697" priority="5032" operator="beginsWith" text="M-FP">
      <formula>LEFT(G55,LEN("M-FP"))="M-FP"</formula>
    </cfRule>
  </conditionalFormatting>
  <conditionalFormatting sqref="G55:NJ57">
    <cfRule type="beginsWith" dxfId="3696" priority="5031" operator="beginsWith" text="ME">
      <formula>LEFT(G55,LEN("ME"))="ME"</formula>
    </cfRule>
  </conditionalFormatting>
  <conditionalFormatting sqref="G55:NJ57">
    <cfRule type="beginsWith" dxfId="3695" priority="5030" operator="beginsWith" text="ME-TL">
      <formula>LEFT(G55,LEN("ME-TL"))="ME-TL"</formula>
    </cfRule>
  </conditionalFormatting>
  <conditionalFormatting sqref="G55:NJ57">
    <cfRule type="beginsWith" dxfId="3694" priority="5029" operator="beginsWith" text="M-W">
      <formula>LEFT(G55,LEN("M-W"))="M-W"</formula>
    </cfRule>
  </conditionalFormatting>
  <conditionalFormatting sqref="G53:NJ53 O51:NJ52">
    <cfRule type="beginsWith" dxfId="3693" priority="4949" operator="beginsWith" text="M">
      <formula>LEFT(G51,LEN("M"))="M"</formula>
    </cfRule>
  </conditionalFormatting>
  <conditionalFormatting sqref="G53:NJ53 O51:NJ52">
    <cfRule type="beginsWith" dxfId="3692" priority="4947" operator="beginsWith" text="Is-MB">
      <formula>LEFT(G51,LEN("Is-MB"))="Is-MB"</formula>
    </cfRule>
  </conditionalFormatting>
  <conditionalFormatting sqref="G53:NJ53 O51:NJ52">
    <cfRule type="beginsWith" dxfId="3691" priority="4946" operator="beginsWith" text="Y">
      <formula>LEFT(G51,LEN("Y"))="Y"</formula>
    </cfRule>
  </conditionalFormatting>
  <conditionalFormatting sqref="G53:NJ53 O51:NJ52">
    <cfRule type="beginsWith" dxfId="3690" priority="4945" operator="beginsWith" text="M-FP">
      <formula>LEFT(G51,LEN("M-FP"))="M-FP"</formula>
    </cfRule>
  </conditionalFormatting>
  <conditionalFormatting sqref="G53:NJ53 O51:NJ52">
    <cfRule type="beginsWith" dxfId="3689" priority="4944" operator="beginsWith" text="ME">
      <formula>LEFT(G51,LEN("ME"))="ME"</formula>
    </cfRule>
  </conditionalFormatting>
  <conditionalFormatting sqref="G53:NJ53 O51:NJ52">
    <cfRule type="beginsWith" dxfId="3688" priority="4943" operator="beginsWith" text="ME-TL">
      <formula>LEFT(G51,LEN("ME-TL"))="ME-TL"</formula>
    </cfRule>
  </conditionalFormatting>
  <conditionalFormatting sqref="G53:NJ53 O51:NJ52">
    <cfRule type="beginsWith" dxfId="3687" priority="4942" operator="beginsWith" text="M-W">
      <formula>LEFT(G51,LEN("M-W"))="M-W"</formula>
    </cfRule>
  </conditionalFormatting>
  <conditionalFormatting sqref="G50:N52 G47:H49 L47:NJ49">
    <cfRule type="beginsWith" dxfId="3686" priority="4862" operator="beginsWith" text="M">
      <formula>LEFT(G47,LEN("M"))="M"</formula>
    </cfRule>
  </conditionalFormatting>
  <conditionalFormatting sqref="G50:N52 G47:H49 L47:NJ49">
    <cfRule type="beginsWith" dxfId="3685" priority="4860" operator="beginsWith" text="Is-MB">
      <formula>LEFT(G47,LEN("Is-MB"))="Is-MB"</formula>
    </cfRule>
  </conditionalFormatting>
  <conditionalFormatting sqref="G50:N52 G47:H49 L47:NJ49">
    <cfRule type="beginsWith" dxfId="3684" priority="4859" operator="beginsWith" text="Y">
      <formula>LEFT(G47,LEN("Y"))="Y"</formula>
    </cfRule>
  </conditionalFormatting>
  <conditionalFormatting sqref="G50:N52 G47:H49 L47:NJ49">
    <cfRule type="beginsWith" dxfId="3683" priority="4858" operator="beginsWith" text="M-FP">
      <formula>LEFT(G47,LEN("M-FP"))="M-FP"</formula>
    </cfRule>
  </conditionalFormatting>
  <conditionalFormatting sqref="G50:N52 G47:H49 L47:NJ49">
    <cfRule type="beginsWith" dxfId="3682" priority="4857" operator="beginsWith" text="ME">
      <formula>LEFT(G47,LEN("ME"))="ME"</formula>
    </cfRule>
  </conditionalFormatting>
  <conditionalFormatting sqref="G50:N52 G47:H49 L47:NJ49">
    <cfRule type="beginsWith" dxfId="3681" priority="4856" operator="beginsWith" text="ME-TL">
      <formula>LEFT(G47,LEN("ME-TL"))="ME-TL"</formula>
    </cfRule>
  </conditionalFormatting>
  <conditionalFormatting sqref="G50:N52 G47:H49 L47:NJ49">
    <cfRule type="beginsWith" dxfId="3680" priority="4855" operator="beginsWith" text="M-W">
      <formula>LEFT(G47,LEN("M-W"))="M-W"</formula>
    </cfRule>
  </conditionalFormatting>
  <conditionalFormatting sqref="G43:H45 L43:NJ45">
    <cfRule type="beginsWith" dxfId="3679" priority="4775" operator="beginsWith" text="M">
      <formula>LEFT(G43,LEN("M"))="M"</formula>
    </cfRule>
  </conditionalFormatting>
  <conditionalFormatting sqref="G43:H45 L43:NJ45">
    <cfRule type="beginsWith" dxfId="3678" priority="4773" operator="beginsWith" text="Is-MB">
      <formula>LEFT(G43,LEN("Is-MB"))="Is-MB"</formula>
    </cfRule>
  </conditionalFormatting>
  <conditionalFormatting sqref="G43:H45 L43:NJ45">
    <cfRule type="beginsWith" dxfId="3677" priority="4772" operator="beginsWith" text="Y">
      <formula>LEFT(G43,LEN("Y"))="Y"</formula>
    </cfRule>
  </conditionalFormatting>
  <conditionalFormatting sqref="G43:H45 L43:NJ45">
    <cfRule type="beginsWith" dxfId="3676" priority="4771" operator="beginsWith" text="M-FP">
      <formula>LEFT(G43,LEN("M-FP"))="M-FP"</formula>
    </cfRule>
  </conditionalFormatting>
  <conditionalFormatting sqref="G43:H45 L43:NJ45">
    <cfRule type="beginsWith" dxfId="3675" priority="4770" operator="beginsWith" text="ME">
      <formula>LEFT(G43,LEN("ME"))="ME"</formula>
    </cfRule>
  </conditionalFormatting>
  <conditionalFormatting sqref="G43:H45 L43:NJ45">
    <cfRule type="beginsWith" dxfId="3674" priority="4769" operator="beginsWith" text="ME-TL">
      <formula>LEFT(G43,LEN("ME-TL"))="ME-TL"</formula>
    </cfRule>
  </conditionalFormatting>
  <conditionalFormatting sqref="G43:H45 L43:NJ45">
    <cfRule type="beginsWith" dxfId="3673" priority="4768" operator="beginsWith" text="M-W">
      <formula>LEFT(G43,LEN("M-W"))="M-W"</formula>
    </cfRule>
  </conditionalFormatting>
  <conditionalFormatting sqref="G39:H41 L40:NJ41 L39:M39 S39:NJ39 N41:R85">
    <cfRule type="beginsWith" dxfId="3672" priority="4688" operator="beginsWith" text="M">
      <formula>LEFT(G39,LEN("M"))="M"</formula>
    </cfRule>
  </conditionalFormatting>
  <conditionalFormatting sqref="G39:H41 L40:NJ41 L39:M39 S39:NJ39 N41:R85">
    <cfRule type="beginsWith" dxfId="3671" priority="4686" operator="beginsWith" text="Is-MB">
      <formula>LEFT(G39,LEN("Is-MB"))="Is-MB"</formula>
    </cfRule>
  </conditionalFormatting>
  <conditionalFormatting sqref="G39:H41 L40:NJ41 L39:M39 S39:NJ39 N41:R85">
    <cfRule type="beginsWith" dxfId="3670" priority="4685" operator="beginsWith" text="Y">
      <formula>LEFT(G39,LEN("Y"))="Y"</formula>
    </cfRule>
  </conditionalFormatting>
  <conditionalFormatting sqref="G39:H41 L40:NJ41 L39:M39 S39:NJ39 N41:R85">
    <cfRule type="beginsWith" dxfId="3669" priority="4684" operator="beginsWith" text="M-FP">
      <formula>LEFT(G39,LEN("M-FP"))="M-FP"</formula>
    </cfRule>
  </conditionalFormatting>
  <conditionalFormatting sqref="G39:H41 L40:NJ41 L39:M39 S39:NJ39 N41:R85">
    <cfRule type="beginsWith" dxfId="3668" priority="4683" operator="beginsWith" text="ME">
      <formula>LEFT(G39,LEN("ME"))="ME"</formula>
    </cfRule>
  </conditionalFormatting>
  <conditionalFormatting sqref="G39:H41 L40:NJ41 L39:M39 S39:NJ39 N41:R85">
    <cfRule type="beginsWith" dxfId="3667" priority="4682" operator="beginsWith" text="ME-TL">
      <formula>LEFT(G39,LEN("ME-TL"))="ME-TL"</formula>
    </cfRule>
  </conditionalFormatting>
  <conditionalFormatting sqref="G39:H41 L40:NJ41 L39:M39 S39:NJ39 N41:R85">
    <cfRule type="beginsWith" dxfId="3666" priority="4681" operator="beginsWith" text="M-W">
      <formula>LEFT(G39,LEN("M-W"))="M-W"</formula>
    </cfRule>
  </conditionalFormatting>
  <conditionalFormatting sqref="G35:H37 L35:M37 S35:NJ37">
    <cfRule type="beginsWith" dxfId="3665" priority="4601" operator="beginsWith" text="M">
      <formula>LEFT(G35,LEN("M"))="M"</formula>
    </cfRule>
  </conditionalFormatting>
  <conditionalFormatting sqref="G35:H37 L35:M37 S35:NJ37">
    <cfRule type="beginsWith" dxfId="3664" priority="4599" operator="beginsWith" text="Is-MB">
      <formula>LEFT(G35,LEN("Is-MB"))="Is-MB"</formula>
    </cfRule>
  </conditionalFormatting>
  <conditionalFormatting sqref="G35:H37 L35:M37 S35:NJ37">
    <cfRule type="beginsWith" dxfId="3663" priority="4598" operator="beginsWith" text="Y">
      <formula>LEFT(G35,LEN("Y"))="Y"</formula>
    </cfRule>
  </conditionalFormatting>
  <conditionalFormatting sqref="G35:H37 L35:M37 S35:NJ37">
    <cfRule type="beginsWith" dxfId="3662" priority="4597" operator="beginsWith" text="M-FP">
      <formula>LEFT(G35,LEN("M-FP"))="M-FP"</formula>
    </cfRule>
  </conditionalFormatting>
  <conditionalFormatting sqref="G35:H37 L35:M37 S35:NJ37">
    <cfRule type="beginsWith" dxfId="3661" priority="4596" operator="beginsWith" text="ME">
      <formula>LEFT(G35,LEN("ME"))="ME"</formula>
    </cfRule>
  </conditionalFormatting>
  <conditionalFormatting sqref="G35:H37 L35:M37 S35:NJ37">
    <cfRule type="beginsWith" dxfId="3660" priority="4595" operator="beginsWith" text="ME-TL">
      <formula>LEFT(G35,LEN("ME-TL"))="ME-TL"</formula>
    </cfRule>
  </conditionalFormatting>
  <conditionalFormatting sqref="G35:H37 L35:M37 S35:NJ37">
    <cfRule type="beginsWith" dxfId="3659" priority="4594" operator="beginsWith" text="M-W">
      <formula>LEFT(G35,LEN("M-W"))="M-W"</formula>
    </cfRule>
  </conditionalFormatting>
  <conditionalFormatting sqref="G31:M32 G33:H33 L33:M33 S31:NJ33">
    <cfRule type="beginsWith" dxfId="3658" priority="4514" operator="beginsWith" text="M">
      <formula>LEFT(G31,LEN("M"))="M"</formula>
    </cfRule>
  </conditionalFormatting>
  <conditionalFormatting sqref="G31:M32 G33:H33 L33:M33 S31:NJ33">
    <cfRule type="beginsWith" dxfId="3657" priority="4512" operator="beginsWith" text="Is-MB">
      <formula>LEFT(G31,LEN("Is-MB"))="Is-MB"</formula>
    </cfRule>
  </conditionalFormatting>
  <conditionalFormatting sqref="G31:M32 G33:H33 L33:M33 S31:NJ33">
    <cfRule type="beginsWith" dxfId="3656" priority="4511" operator="beginsWith" text="Y">
      <formula>LEFT(G31,LEN("Y"))="Y"</formula>
    </cfRule>
  </conditionalFormatting>
  <conditionalFormatting sqref="G31:M32 G33:H33 L33:M33 S31:NJ33">
    <cfRule type="beginsWith" dxfId="3655" priority="4510" operator="beginsWith" text="M-FP">
      <formula>LEFT(G31,LEN("M-FP"))="M-FP"</formula>
    </cfRule>
  </conditionalFormatting>
  <conditionalFormatting sqref="G31:M32 G33:H33 L33:M33 S31:NJ33">
    <cfRule type="beginsWith" dxfId="3654" priority="4509" operator="beginsWith" text="ME">
      <formula>LEFT(G31,LEN("ME"))="ME"</formula>
    </cfRule>
  </conditionalFormatting>
  <conditionalFormatting sqref="G31:M32 G33:H33 L33:M33 S31:NJ33">
    <cfRule type="beginsWith" dxfId="3653" priority="4508" operator="beginsWith" text="ME-TL">
      <formula>LEFT(G31,LEN("ME-TL"))="ME-TL"</formula>
    </cfRule>
  </conditionalFormatting>
  <conditionalFormatting sqref="G31:M32 G33:H33 L33:M33 S31:NJ33">
    <cfRule type="beginsWith" dxfId="3652" priority="4507" operator="beginsWith" text="M-W">
      <formula>LEFT(G31,LEN("M-W"))="M-W"</formula>
    </cfRule>
  </conditionalFormatting>
  <conditionalFormatting sqref="G28:M29 G27:H27 L27:M27 S27:NJ29">
    <cfRule type="beginsWith" dxfId="3651" priority="4427" operator="beginsWith" text="M">
      <formula>LEFT(G27,LEN("M"))="M"</formula>
    </cfRule>
  </conditionalFormatting>
  <conditionalFormatting sqref="G28:M29 G27:H27 L27:M27 S27:NJ29">
    <cfRule type="beginsWith" dxfId="3650" priority="4425" operator="beginsWith" text="Is-MB">
      <formula>LEFT(G27,LEN("Is-MB"))="Is-MB"</formula>
    </cfRule>
  </conditionalFormatting>
  <conditionalFormatting sqref="G28:M29 G27:H27 L27:M27 S27:NJ29">
    <cfRule type="beginsWith" dxfId="3649" priority="4424" operator="beginsWith" text="Y">
      <formula>LEFT(G27,LEN("Y"))="Y"</formula>
    </cfRule>
  </conditionalFormatting>
  <conditionalFormatting sqref="G28:M29 G27:H27 L27:M27 S27:NJ29">
    <cfRule type="beginsWith" dxfId="3648" priority="4423" operator="beginsWith" text="M-FP">
      <formula>LEFT(G27,LEN("M-FP"))="M-FP"</formula>
    </cfRule>
  </conditionalFormatting>
  <conditionalFormatting sqref="G28:M29 G27:H27 L27:M27 S27:NJ29">
    <cfRule type="beginsWith" dxfId="3647" priority="4422" operator="beginsWith" text="ME">
      <formula>LEFT(G27,LEN("ME"))="ME"</formula>
    </cfRule>
  </conditionalFormatting>
  <conditionalFormatting sqref="G28:M29 G27:H27 L27:M27 S27:NJ29">
    <cfRule type="beginsWith" dxfId="3646" priority="4421" operator="beginsWith" text="ME-TL">
      <formula>LEFT(G27,LEN("ME-TL"))="ME-TL"</formula>
    </cfRule>
  </conditionalFormatting>
  <conditionalFormatting sqref="G28:M29 G27:H27 L27:M27 S27:NJ29">
    <cfRule type="beginsWith" dxfId="3645" priority="4420" operator="beginsWith" text="M-W">
      <formula>LEFT(G27,LEN("M-W"))="M-W"</formula>
    </cfRule>
  </conditionalFormatting>
  <conditionalFormatting sqref="G23:H25 L23:M25 S23:NJ25">
    <cfRule type="beginsWith" dxfId="3644" priority="4340" operator="beginsWith" text="M">
      <formula>LEFT(G23,LEN("M"))="M"</formula>
    </cfRule>
  </conditionalFormatting>
  <conditionalFormatting sqref="G23:H25 L23:M25 S23:NJ25">
    <cfRule type="beginsWith" dxfId="3643" priority="4338" operator="beginsWith" text="Is-MB">
      <formula>LEFT(G23,LEN("Is-MB"))="Is-MB"</formula>
    </cfRule>
  </conditionalFormatting>
  <conditionalFormatting sqref="G23:H25 L23:M25 S23:NJ25">
    <cfRule type="beginsWith" dxfId="3642" priority="4337" operator="beginsWith" text="Y">
      <formula>LEFT(G23,LEN("Y"))="Y"</formula>
    </cfRule>
  </conditionalFormatting>
  <conditionalFormatting sqref="G23:H25 L23:M25 S23:NJ25">
    <cfRule type="beginsWith" dxfId="3641" priority="4336" operator="beginsWith" text="M-FP">
      <formula>LEFT(G23,LEN("M-FP"))="M-FP"</formula>
    </cfRule>
  </conditionalFormatting>
  <conditionalFormatting sqref="G23:H25 L23:M25 S23:NJ25">
    <cfRule type="beginsWith" dxfId="3640" priority="4335" operator="beginsWith" text="ME">
      <formula>LEFT(G23,LEN("ME"))="ME"</formula>
    </cfRule>
  </conditionalFormatting>
  <conditionalFormatting sqref="G23:H25 L23:M25 S23:NJ25">
    <cfRule type="beginsWith" dxfId="3639" priority="4334" operator="beginsWith" text="ME-TL">
      <formula>LEFT(G23,LEN("ME-TL"))="ME-TL"</formula>
    </cfRule>
  </conditionalFormatting>
  <conditionalFormatting sqref="G23:H25 L23:M25 S23:NJ25">
    <cfRule type="beginsWith" dxfId="3638" priority="4333" operator="beginsWith" text="M-W">
      <formula>LEFT(G23,LEN("M-W"))="M-W"</formula>
    </cfRule>
  </conditionalFormatting>
  <conditionalFormatting sqref="G19:M20 G21:H21 L21:M21 S19:NJ21">
    <cfRule type="beginsWith" dxfId="3637" priority="4253" operator="beginsWith" text="M">
      <formula>LEFT(G19,LEN("M"))="M"</formula>
    </cfRule>
  </conditionalFormatting>
  <conditionalFormatting sqref="G19:M20 G21:H21 L21:M21 S19:NJ21">
    <cfRule type="beginsWith" dxfId="3636" priority="4251" operator="beginsWith" text="Is-MB">
      <formula>LEFT(G19,LEN("Is-MB"))="Is-MB"</formula>
    </cfRule>
  </conditionalFormatting>
  <conditionalFormatting sqref="G19:M20 G21:H21 L21:M21 S19:NJ21">
    <cfRule type="beginsWith" dxfId="3635" priority="4250" operator="beginsWith" text="Y">
      <formula>LEFT(G19,LEN("Y"))="Y"</formula>
    </cfRule>
  </conditionalFormatting>
  <conditionalFormatting sqref="G19:M20 G21:H21 L21:M21 S19:NJ21">
    <cfRule type="beginsWith" dxfId="3634" priority="4249" operator="beginsWith" text="M-FP">
      <formula>LEFT(G19,LEN("M-FP"))="M-FP"</formula>
    </cfRule>
  </conditionalFormatting>
  <conditionalFormatting sqref="G19:M20 G21:H21 L21:M21 S19:NJ21">
    <cfRule type="beginsWith" dxfId="3633" priority="4248" operator="beginsWith" text="ME">
      <formula>LEFT(G19,LEN("ME"))="ME"</formula>
    </cfRule>
  </conditionalFormatting>
  <conditionalFormatting sqref="G19:M20 G21:H21 L21:M21 S19:NJ21">
    <cfRule type="beginsWith" dxfId="3632" priority="4247" operator="beginsWith" text="ME-TL">
      <formula>LEFT(G19,LEN("ME-TL"))="ME-TL"</formula>
    </cfRule>
  </conditionalFormatting>
  <conditionalFormatting sqref="G19:M20 G21:H21 L21:M21 S19:NJ21">
    <cfRule type="beginsWith" dxfId="3631" priority="4246" operator="beginsWith" text="M-W">
      <formula>LEFT(G19,LEN("M-W"))="M-W"</formula>
    </cfRule>
  </conditionalFormatting>
  <conditionalFormatting sqref="G15:M17 S15:NJ17">
    <cfRule type="beginsWith" dxfId="3630" priority="4166" operator="beginsWith" text="M">
      <formula>LEFT(G15,LEN("M"))="M"</formula>
    </cfRule>
  </conditionalFormatting>
  <conditionalFormatting sqref="G15:M17 S15:NJ17">
    <cfRule type="beginsWith" dxfId="3629" priority="4164" operator="beginsWith" text="Is-MB">
      <formula>LEFT(G15,LEN("Is-MB"))="Is-MB"</formula>
    </cfRule>
  </conditionalFormatting>
  <conditionalFormatting sqref="G15:M17 S15:NJ17">
    <cfRule type="beginsWith" dxfId="3628" priority="4163" operator="beginsWith" text="Y">
      <formula>LEFT(G15,LEN("Y"))="Y"</formula>
    </cfRule>
  </conditionalFormatting>
  <conditionalFormatting sqref="G15:M17 S15:NJ17">
    <cfRule type="beginsWith" dxfId="3627" priority="4162" operator="beginsWith" text="M-FP">
      <formula>LEFT(G15,LEN("M-FP"))="M-FP"</formula>
    </cfRule>
  </conditionalFormatting>
  <conditionalFormatting sqref="G15:M17 S15:NJ17">
    <cfRule type="beginsWith" dxfId="3626" priority="4161" operator="beginsWith" text="ME">
      <formula>LEFT(G15,LEN("ME"))="ME"</formula>
    </cfRule>
  </conditionalFormatting>
  <conditionalFormatting sqref="G15:M17 S15:NJ17">
    <cfRule type="beginsWith" dxfId="3625" priority="4160" operator="beginsWith" text="ME-TL">
      <formula>LEFT(G15,LEN("ME-TL"))="ME-TL"</formula>
    </cfRule>
  </conditionalFormatting>
  <conditionalFormatting sqref="G15:M17 S15:NJ17">
    <cfRule type="beginsWith" dxfId="3624" priority="4159" operator="beginsWith" text="M-W">
      <formula>LEFT(G15,LEN("M-W"))="M-W"</formula>
    </cfRule>
  </conditionalFormatting>
  <conditionalFormatting sqref="A15:E16 A19:E20 A23:E24 A27:E28 A31:E32 A35:E36 A39:E40 A43:E44 A47:E48 A51:E52 A55:E56 A59:E60 A67:E68 A71:E72 A75:E76 A79:E80 A83:E84 A87:E88 A91:E92 A95:E96 A99:E100 A103:E104 A107:E108 A111:E112 A115:E116 A119:E120 A123:E182 A63:E64">
    <cfRule type="expression" dxfId="3623" priority="8225">
      <formula>IF(AND($A15=$A16,#REF!=#REF!,$B15=$B16),0,1)</formula>
    </cfRule>
  </conditionalFormatting>
  <conditionalFormatting sqref="A11:E13 A15:E17 A19:E21 A23:E25 A27:E29 A31:E33 A43:E45 A47:E49 A51:E53 A55:E57 A67:E69 A71:E73 A75:E77 A83:E85 A87:E89 A91:E93 A95:E97 A99:E101 A103:E105 A107:E109 A111:E113 A115:E117 A119:E121 A123:E183 A39:E41 A35:E37 A63:E65 A59:E61 A79:E81">
    <cfRule type="expression" dxfId="3622" priority="8229">
      <formula>$F11="--"</formula>
    </cfRule>
  </conditionalFormatting>
  <conditionalFormatting sqref="A11:E13 A15:E17 A19:E21 A23:E25 A27:E29 A31:E33 A43:E45 A47:E49 A51:E53 A55:E57 A67:E69 A71:E73 A75:E77 A83:E85 A87:E89 A91:E93 A95:E97 A99:E101 A103:E105 A107:E109 A111:E113 A115:E117 A119:E121 A123:E183 A39:E41 A35:E37 A63:E65 A59:E61 A79:E81">
    <cfRule type="expression" dxfId="3621" priority="8233">
      <formula>$F11="-"</formula>
    </cfRule>
  </conditionalFormatting>
  <conditionalFormatting sqref="A183:E183">
    <cfRule type="expression" dxfId="3620" priority="8314">
      <formula>IF(AND($A183=#REF!,#REF!=#REF!,$B183=#REF!),0,1)</formula>
    </cfRule>
  </conditionalFormatting>
  <conditionalFormatting sqref="Q45">
    <cfRule type="beginsWith" dxfId="3619" priority="3974" operator="beginsWith" text="M">
      <formula>LEFT(Q45,LEN("M"))="M"</formula>
    </cfRule>
  </conditionalFormatting>
  <conditionalFormatting sqref="Q45">
    <cfRule type="beginsWith" dxfId="3618" priority="3973" operator="beginsWith" text="Is-MB">
      <formula>LEFT(Q45,LEN("Is-MB"))="Is-MB"</formula>
    </cfRule>
  </conditionalFormatting>
  <conditionalFormatting sqref="Q45">
    <cfRule type="beginsWith" dxfId="3617" priority="3972" operator="beginsWith" text="Y">
      <formula>LEFT(Q45,LEN("Y"))="Y"</formula>
    </cfRule>
  </conditionalFormatting>
  <conditionalFormatting sqref="Q45">
    <cfRule type="beginsWith" dxfId="3616" priority="3971" operator="beginsWith" text="M-FP">
      <formula>LEFT(Q45,LEN("M-FP"))="M-FP"</formula>
    </cfRule>
  </conditionalFormatting>
  <conditionalFormatting sqref="Q45">
    <cfRule type="beginsWith" dxfId="3615" priority="3970" operator="beginsWith" text="ME">
      <formula>LEFT(Q45,LEN("ME"))="ME"</formula>
    </cfRule>
  </conditionalFormatting>
  <conditionalFormatting sqref="Q45">
    <cfRule type="beginsWith" dxfId="3614" priority="3969" operator="beginsWith" text="ME-TL">
      <formula>LEFT(Q45,LEN("ME-TL"))="ME-TL"</formula>
    </cfRule>
  </conditionalFormatting>
  <conditionalFormatting sqref="Q45">
    <cfRule type="beginsWith" dxfId="3613" priority="3968" operator="beginsWith" text="M-W">
      <formula>LEFT(Q45,LEN("M-W"))="M-W"</formula>
    </cfRule>
  </conditionalFormatting>
  <conditionalFormatting sqref="Q45">
    <cfRule type="beginsWith" dxfId="3612" priority="3967" operator="beginsWith" text="M">
      <formula>LEFT(Q45,LEN("M"))="M"</formula>
    </cfRule>
  </conditionalFormatting>
  <conditionalFormatting sqref="Q45">
    <cfRule type="beginsWith" dxfId="3611" priority="3966" operator="beginsWith" text="Is-MB">
      <formula>LEFT(Q45,LEN("Is-MB"))="Is-MB"</formula>
    </cfRule>
  </conditionalFormatting>
  <conditionalFormatting sqref="Q45">
    <cfRule type="beginsWith" dxfId="3610" priority="3965" operator="beginsWith" text="Y">
      <formula>LEFT(Q45,LEN("Y"))="Y"</formula>
    </cfRule>
  </conditionalFormatting>
  <conditionalFormatting sqref="Q45">
    <cfRule type="beginsWith" dxfId="3609" priority="3964" operator="beginsWith" text="M-FP">
      <formula>LEFT(Q45,LEN("M-FP"))="M-FP"</formula>
    </cfRule>
  </conditionalFormatting>
  <conditionalFormatting sqref="Q45">
    <cfRule type="beginsWith" dxfId="3608" priority="3963" operator="beginsWith" text="ME">
      <formula>LEFT(Q45,LEN("ME"))="ME"</formula>
    </cfRule>
  </conditionalFormatting>
  <conditionalFormatting sqref="Q45">
    <cfRule type="beginsWith" dxfId="3607" priority="3962" operator="beginsWith" text="ME-TL">
      <formula>LEFT(Q45,LEN("ME-TL"))="ME-TL"</formula>
    </cfRule>
  </conditionalFormatting>
  <conditionalFormatting sqref="Q45">
    <cfRule type="beginsWith" dxfId="3606" priority="3961" operator="beginsWith" text="M-W">
      <formula>LEFT(Q45,LEN("M-W"))="M-W"</formula>
    </cfRule>
  </conditionalFormatting>
  <conditionalFormatting sqref="U43">
    <cfRule type="beginsWith" dxfId="3605" priority="3960" operator="beginsWith" text="M">
      <formula>LEFT(U43,LEN("M"))="M"</formula>
    </cfRule>
  </conditionalFormatting>
  <conditionalFormatting sqref="U43">
    <cfRule type="beginsWith" dxfId="3604" priority="3959" operator="beginsWith" text="Is-MB">
      <formula>LEFT(U43,LEN("Is-MB"))="Is-MB"</formula>
    </cfRule>
  </conditionalFormatting>
  <conditionalFormatting sqref="U43">
    <cfRule type="beginsWith" dxfId="3603" priority="3958" operator="beginsWith" text="Y">
      <formula>LEFT(U43,LEN("Y"))="Y"</formula>
    </cfRule>
  </conditionalFormatting>
  <conditionalFormatting sqref="U43">
    <cfRule type="beginsWith" dxfId="3602" priority="3957" operator="beginsWith" text="M-FP">
      <formula>LEFT(U43,LEN("M-FP"))="M-FP"</formula>
    </cfRule>
  </conditionalFormatting>
  <conditionalFormatting sqref="U43">
    <cfRule type="beginsWith" dxfId="3601" priority="3956" operator="beginsWith" text="ME">
      <formula>LEFT(U43,LEN("ME"))="ME"</formula>
    </cfRule>
  </conditionalFormatting>
  <conditionalFormatting sqref="U43">
    <cfRule type="beginsWith" dxfId="3600" priority="3955" operator="beginsWith" text="ME-TL">
      <formula>LEFT(U43,LEN("ME-TL"))="ME-TL"</formula>
    </cfRule>
  </conditionalFormatting>
  <conditionalFormatting sqref="U43">
    <cfRule type="beginsWith" dxfId="3599" priority="3954" operator="beginsWith" text="M-W">
      <formula>LEFT(U43,LEN("M-W"))="M-W"</formula>
    </cfRule>
  </conditionalFormatting>
  <conditionalFormatting sqref="U43">
    <cfRule type="beginsWith" dxfId="3598" priority="3953" operator="beginsWith" text="M">
      <formula>LEFT(U43,LEN("M"))="M"</formula>
    </cfRule>
  </conditionalFormatting>
  <conditionalFormatting sqref="U43">
    <cfRule type="beginsWith" dxfId="3597" priority="3952" operator="beginsWith" text="Is-MB">
      <formula>LEFT(U43,LEN("Is-MB"))="Is-MB"</formula>
    </cfRule>
  </conditionalFormatting>
  <conditionalFormatting sqref="U43">
    <cfRule type="beginsWith" dxfId="3596" priority="3951" operator="beginsWith" text="Y">
      <formula>LEFT(U43,LEN("Y"))="Y"</formula>
    </cfRule>
  </conditionalFormatting>
  <conditionalFormatting sqref="U43">
    <cfRule type="beginsWith" dxfId="3595" priority="3950" operator="beginsWith" text="M-FP">
      <formula>LEFT(U43,LEN("M-FP"))="M-FP"</formula>
    </cfRule>
  </conditionalFormatting>
  <conditionalFormatting sqref="U43">
    <cfRule type="beginsWith" dxfId="3594" priority="3949" operator="beginsWith" text="ME">
      <formula>LEFT(U43,LEN("ME"))="ME"</formula>
    </cfRule>
  </conditionalFormatting>
  <conditionalFormatting sqref="U43">
    <cfRule type="beginsWith" dxfId="3593" priority="3948" operator="beginsWith" text="ME-TL">
      <formula>LEFT(U43,LEN("ME-TL"))="ME-TL"</formula>
    </cfRule>
  </conditionalFormatting>
  <conditionalFormatting sqref="U43">
    <cfRule type="beginsWith" dxfId="3592" priority="3947" operator="beginsWith" text="M-W">
      <formula>LEFT(U43,LEN("M-W"))="M-W"</formula>
    </cfRule>
  </conditionalFormatting>
  <conditionalFormatting sqref="O12">
    <cfRule type="beginsWith" dxfId="3591" priority="3946" operator="beginsWith" text="M">
      <formula>LEFT(O12,LEN("M"))="M"</formula>
    </cfRule>
  </conditionalFormatting>
  <conditionalFormatting sqref="O12">
    <cfRule type="beginsWith" dxfId="3590" priority="3945" operator="beginsWith" text="Is-MB">
      <formula>LEFT(O12,LEN("Is-MB"))="Is-MB"</formula>
    </cfRule>
  </conditionalFormatting>
  <conditionalFormatting sqref="O12">
    <cfRule type="beginsWith" dxfId="3589" priority="3944" operator="beginsWith" text="Y">
      <formula>LEFT(O12,LEN("Y"))="Y"</formula>
    </cfRule>
  </conditionalFormatting>
  <conditionalFormatting sqref="O12">
    <cfRule type="beginsWith" dxfId="3588" priority="3943" operator="beginsWith" text="M-FP">
      <formula>LEFT(O12,LEN("M-FP"))="M-FP"</formula>
    </cfRule>
  </conditionalFormatting>
  <conditionalFormatting sqref="O12">
    <cfRule type="beginsWith" dxfId="3587" priority="3942" operator="beginsWith" text="ME">
      <formula>LEFT(O12,LEN("ME"))="ME"</formula>
    </cfRule>
  </conditionalFormatting>
  <conditionalFormatting sqref="O12">
    <cfRule type="beginsWith" dxfId="3586" priority="3941" operator="beginsWith" text="ME-TL">
      <formula>LEFT(O12,LEN("ME-TL"))="ME-TL"</formula>
    </cfRule>
  </conditionalFormatting>
  <conditionalFormatting sqref="O12">
    <cfRule type="beginsWith" dxfId="3585" priority="3940" operator="beginsWith" text="M-W">
      <formula>LEFT(O12,LEN("M-W"))="M-W"</formula>
    </cfRule>
  </conditionalFormatting>
  <conditionalFormatting sqref="P51">
    <cfRule type="beginsWith" dxfId="3584" priority="3939" operator="beginsWith" text="M">
      <formula>LEFT(P51,LEN("M"))="M"</formula>
    </cfRule>
  </conditionalFormatting>
  <conditionalFormatting sqref="P51">
    <cfRule type="beginsWith" dxfId="3583" priority="3938" operator="beginsWith" text="Is-MB">
      <formula>LEFT(P51,LEN("Is-MB"))="Is-MB"</formula>
    </cfRule>
  </conditionalFormatting>
  <conditionalFormatting sqref="P51">
    <cfRule type="beginsWith" dxfId="3582" priority="3937" operator="beginsWith" text="Y">
      <formula>LEFT(P51,LEN("Y"))="Y"</formula>
    </cfRule>
  </conditionalFormatting>
  <conditionalFormatting sqref="P51">
    <cfRule type="beginsWith" dxfId="3581" priority="3936" operator="beginsWith" text="M-FP">
      <formula>LEFT(P51,LEN("M-FP"))="M-FP"</formula>
    </cfRule>
  </conditionalFormatting>
  <conditionalFormatting sqref="P51">
    <cfRule type="beginsWith" dxfId="3580" priority="3935" operator="beginsWith" text="ME">
      <formula>LEFT(P51,LEN("ME"))="ME"</formula>
    </cfRule>
  </conditionalFormatting>
  <conditionalFormatting sqref="P51">
    <cfRule type="beginsWith" dxfId="3579" priority="3934" operator="beginsWith" text="ME-TL">
      <formula>LEFT(P51,LEN("ME-TL"))="ME-TL"</formula>
    </cfRule>
  </conditionalFormatting>
  <conditionalFormatting sqref="P51">
    <cfRule type="beginsWith" dxfId="3578" priority="3933" operator="beginsWith" text="M-W">
      <formula>LEFT(P51,LEN("M-W"))="M-W"</formula>
    </cfRule>
  </conditionalFormatting>
  <conditionalFormatting sqref="W51">
    <cfRule type="beginsWith" dxfId="3577" priority="3932" operator="beginsWith" text="M">
      <formula>LEFT(W51,LEN("M"))="M"</formula>
    </cfRule>
  </conditionalFormatting>
  <conditionalFormatting sqref="W51">
    <cfRule type="beginsWith" dxfId="3576" priority="3931" operator="beginsWith" text="Is-MB">
      <formula>LEFT(W51,LEN("Is-MB"))="Is-MB"</formula>
    </cfRule>
  </conditionalFormatting>
  <conditionalFormatting sqref="W51">
    <cfRule type="beginsWith" dxfId="3575" priority="3930" operator="beginsWith" text="Y">
      <formula>LEFT(W51,LEN("Y"))="Y"</formula>
    </cfRule>
  </conditionalFormatting>
  <conditionalFormatting sqref="W51">
    <cfRule type="beginsWith" dxfId="3574" priority="3929" operator="beginsWith" text="M-FP">
      <formula>LEFT(W51,LEN("M-FP"))="M-FP"</formula>
    </cfRule>
  </conditionalFormatting>
  <conditionalFormatting sqref="W51">
    <cfRule type="beginsWith" dxfId="3573" priority="3928" operator="beginsWith" text="ME">
      <formula>LEFT(W51,LEN("ME"))="ME"</formula>
    </cfRule>
  </conditionalFormatting>
  <conditionalFormatting sqref="W51">
    <cfRule type="beginsWith" dxfId="3572" priority="3927" operator="beginsWith" text="ME-TL">
      <formula>LEFT(W51,LEN("ME-TL"))="ME-TL"</formula>
    </cfRule>
  </conditionalFormatting>
  <conditionalFormatting sqref="W51">
    <cfRule type="beginsWith" dxfId="3571" priority="3926" operator="beginsWith" text="M-W">
      <formula>LEFT(W51,LEN("M-W"))="M-W"</formula>
    </cfRule>
  </conditionalFormatting>
  <conditionalFormatting sqref="AD51">
    <cfRule type="beginsWith" dxfId="3570" priority="3925" operator="beginsWith" text="M">
      <formula>LEFT(AD51,LEN("M"))="M"</formula>
    </cfRule>
  </conditionalFormatting>
  <conditionalFormatting sqref="AD51">
    <cfRule type="beginsWith" dxfId="3569" priority="3924" operator="beginsWith" text="Is-MB">
      <formula>LEFT(AD51,LEN("Is-MB"))="Is-MB"</formula>
    </cfRule>
  </conditionalFormatting>
  <conditionalFormatting sqref="AD51">
    <cfRule type="beginsWith" dxfId="3568" priority="3923" operator="beginsWith" text="Y">
      <formula>LEFT(AD51,LEN("Y"))="Y"</formula>
    </cfRule>
  </conditionalFormatting>
  <conditionalFormatting sqref="AD51">
    <cfRule type="beginsWith" dxfId="3567" priority="3922" operator="beginsWith" text="M-FP">
      <formula>LEFT(AD51,LEN("M-FP"))="M-FP"</formula>
    </cfRule>
  </conditionalFormatting>
  <conditionalFormatting sqref="AD51">
    <cfRule type="beginsWith" dxfId="3566" priority="3921" operator="beginsWith" text="ME">
      <formula>LEFT(AD51,LEN("ME"))="ME"</formula>
    </cfRule>
  </conditionalFormatting>
  <conditionalFormatting sqref="AD51">
    <cfRule type="beginsWith" dxfId="3565" priority="3920" operator="beginsWith" text="ME-TL">
      <formula>LEFT(AD51,LEN("ME-TL"))="ME-TL"</formula>
    </cfRule>
  </conditionalFormatting>
  <conditionalFormatting sqref="AD51">
    <cfRule type="beginsWith" dxfId="3564" priority="3919" operator="beginsWith" text="M-W">
      <formula>LEFT(AD51,LEN("M-W"))="M-W"</formula>
    </cfRule>
  </conditionalFormatting>
  <conditionalFormatting sqref="AK51">
    <cfRule type="beginsWith" dxfId="3563" priority="3918" operator="beginsWith" text="M">
      <formula>LEFT(AK51,LEN("M"))="M"</formula>
    </cfRule>
  </conditionalFormatting>
  <conditionalFormatting sqref="AK51">
    <cfRule type="beginsWith" dxfId="3562" priority="3917" operator="beginsWith" text="Is-MB">
      <formula>LEFT(AK51,LEN("Is-MB"))="Is-MB"</formula>
    </cfRule>
  </conditionalFormatting>
  <conditionalFormatting sqref="AK51">
    <cfRule type="beginsWith" dxfId="3561" priority="3916" operator="beginsWith" text="Y">
      <formula>LEFT(AK51,LEN("Y"))="Y"</formula>
    </cfRule>
  </conditionalFormatting>
  <conditionalFormatting sqref="AK51">
    <cfRule type="beginsWith" dxfId="3560" priority="3915" operator="beginsWith" text="M-FP">
      <formula>LEFT(AK51,LEN("M-FP"))="M-FP"</formula>
    </cfRule>
  </conditionalFormatting>
  <conditionalFormatting sqref="AK51">
    <cfRule type="beginsWith" dxfId="3559" priority="3914" operator="beginsWith" text="ME">
      <formula>LEFT(AK51,LEN("ME"))="ME"</formula>
    </cfRule>
  </conditionalFormatting>
  <conditionalFormatting sqref="AK51">
    <cfRule type="beginsWith" dxfId="3558" priority="3913" operator="beginsWith" text="ME-TL">
      <formula>LEFT(AK51,LEN("ME-TL"))="ME-TL"</formula>
    </cfRule>
  </conditionalFormatting>
  <conditionalFormatting sqref="AK51">
    <cfRule type="beginsWith" dxfId="3557" priority="3912" operator="beginsWith" text="M-W">
      <formula>LEFT(AK51,LEN("M-W"))="M-W"</formula>
    </cfRule>
  </conditionalFormatting>
  <conditionalFormatting sqref="AR51">
    <cfRule type="beginsWith" dxfId="3556" priority="3911" operator="beginsWith" text="M">
      <formula>LEFT(AR51,LEN("M"))="M"</formula>
    </cfRule>
  </conditionalFormatting>
  <conditionalFormatting sqref="AR51">
    <cfRule type="beginsWith" dxfId="3555" priority="3910" operator="beginsWith" text="Is-MB">
      <formula>LEFT(AR51,LEN("Is-MB"))="Is-MB"</formula>
    </cfRule>
  </conditionalFormatting>
  <conditionalFormatting sqref="AR51">
    <cfRule type="beginsWith" dxfId="3554" priority="3909" operator="beginsWith" text="Y">
      <formula>LEFT(AR51,LEN("Y"))="Y"</formula>
    </cfRule>
  </conditionalFormatting>
  <conditionalFormatting sqref="AR51">
    <cfRule type="beginsWith" dxfId="3553" priority="3908" operator="beginsWith" text="M-FP">
      <formula>LEFT(AR51,LEN("M-FP"))="M-FP"</formula>
    </cfRule>
  </conditionalFormatting>
  <conditionalFormatting sqref="AR51">
    <cfRule type="beginsWith" dxfId="3552" priority="3907" operator="beginsWith" text="ME">
      <formula>LEFT(AR51,LEN("ME"))="ME"</formula>
    </cfRule>
  </conditionalFormatting>
  <conditionalFormatting sqref="AR51">
    <cfRule type="beginsWith" dxfId="3551" priority="3906" operator="beginsWith" text="ME-TL">
      <formula>LEFT(AR51,LEN("ME-TL"))="ME-TL"</formula>
    </cfRule>
  </conditionalFormatting>
  <conditionalFormatting sqref="AR51">
    <cfRule type="beginsWith" dxfId="3550" priority="3905" operator="beginsWith" text="M-W">
      <formula>LEFT(AR51,LEN("M-W"))="M-W"</formula>
    </cfRule>
  </conditionalFormatting>
  <conditionalFormatting sqref="AY51">
    <cfRule type="beginsWith" dxfId="3549" priority="3904" operator="beginsWith" text="M">
      <formula>LEFT(AY51,LEN("M"))="M"</formula>
    </cfRule>
  </conditionalFormatting>
  <conditionalFormatting sqref="AY51">
    <cfRule type="beginsWith" dxfId="3548" priority="3903" operator="beginsWith" text="Is-MB">
      <formula>LEFT(AY51,LEN("Is-MB"))="Is-MB"</formula>
    </cfRule>
  </conditionalFormatting>
  <conditionalFormatting sqref="AY51">
    <cfRule type="beginsWith" dxfId="3547" priority="3902" operator="beginsWith" text="Y">
      <formula>LEFT(AY51,LEN("Y"))="Y"</formula>
    </cfRule>
  </conditionalFormatting>
  <conditionalFormatting sqref="AY51">
    <cfRule type="beginsWith" dxfId="3546" priority="3901" operator="beginsWith" text="M-FP">
      <formula>LEFT(AY51,LEN("M-FP"))="M-FP"</formula>
    </cfRule>
  </conditionalFormatting>
  <conditionalFormatting sqref="AY51">
    <cfRule type="beginsWith" dxfId="3545" priority="3900" operator="beginsWith" text="ME">
      <formula>LEFT(AY51,LEN("ME"))="ME"</formula>
    </cfRule>
  </conditionalFormatting>
  <conditionalFormatting sqref="AY51">
    <cfRule type="beginsWith" dxfId="3544" priority="3899" operator="beginsWith" text="ME-TL">
      <formula>LEFT(AY51,LEN("ME-TL"))="ME-TL"</formula>
    </cfRule>
  </conditionalFormatting>
  <conditionalFormatting sqref="AY51">
    <cfRule type="beginsWith" dxfId="3543" priority="3898" operator="beginsWith" text="M-W">
      <formula>LEFT(AY51,LEN("M-W"))="M-W"</formula>
    </cfRule>
  </conditionalFormatting>
  <conditionalFormatting sqref="BF51">
    <cfRule type="beginsWith" dxfId="3542" priority="3897" operator="beginsWith" text="M">
      <formula>LEFT(BF51,LEN("M"))="M"</formula>
    </cfRule>
  </conditionalFormatting>
  <conditionalFormatting sqref="BF51">
    <cfRule type="beginsWith" dxfId="3541" priority="3896" operator="beginsWith" text="Is-MB">
      <formula>LEFT(BF51,LEN("Is-MB"))="Is-MB"</formula>
    </cfRule>
  </conditionalFormatting>
  <conditionalFormatting sqref="BF51">
    <cfRule type="beginsWith" dxfId="3540" priority="3895" operator="beginsWith" text="Y">
      <formula>LEFT(BF51,LEN("Y"))="Y"</formula>
    </cfRule>
  </conditionalFormatting>
  <conditionalFormatting sqref="BF51">
    <cfRule type="beginsWith" dxfId="3539" priority="3894" operator="beginsWith" text="M-FP">
      <formula>LEFT(BF51,LEN("M-FP"))="M-FP"</formula>
    </cfRule>
  </conditionalFormatting>
  <conditionalFormatting sqref="BF51">
    <cfRule type="beginsWith" dxfId="3538" priority="3893" operator="beginsWith" text="ME">
      <formula>LEFT(BF51,LEN("ME"))="ME"</formula>
    </cfRule>
  </conditionalFormatting>
  <conditionalFormatting sqref="BF51">
    <cfRule type="beginsWith" dxfId="3537" priority="3892" operator="beginsWith" text="ME-TL">
      <formula>LEFT(BF51,LEN("ME-TL"))="ME-TL"</formula>
    </cfRule>
  </conditionalFormatting>
  <conditionalFormatting sqref="BF51">
    <cfRule type="beginsWith" dxfId="3536" priority="3891" operator="beginsWith" text="M-W">
      <formula>LEFT(BF51,LEN("M-W"))="M-W"</formula>
    </cfRule>
  </conditionalFormatting>
  <conditionalFormatting sqref="Q47">
    <cfRule type="beginsWith" dxfId="3535" priority="3855" operator="beginsWith" text="M">
      <formula>LEFT(Q47,LEN("M"))="M"</formula>
    </cfRule>
  </conditionalFormatting>
  <conditionalFormatting sqref="Q47">
    <cfRule type="beginsWith" dxfId="3534" priority="3854" operator="beginsWith" text="Is-MB">
      <formula>LEFT(Q47,LEN("Is-MB"))="Is-MB"</formula>
    </cfRule>
  </conditionalFormatting>
  <conditionalFormatting sqref="Q47">
    <cfRule type="beginsWith" dxfId="3533" priority="3853" operator="beginsWith" text="Y">
      <formula>LEFT(Q47,LEN("Y"))="Y"</formula>
    </cfRule>
  </conditionalFormatting>
  <conditionalFormatting sqref="Q47">
    <cfRule type="beginsWith" dxfId="3532" priority="3852" operator="beginsWith" text="M-FP">
      <formula>LEFT(Q47,LEN("M-FP"))="M-FP"</formula>
    </cfRule>
  </conditionalFormatting>
  <conditionalFormatting sqref="Q47">
    <cfRule type="beginsWith" dxfId="3531" priority="3851" operator="beginsWith" text="ME">
      <formula>LEFT(Q47,LEN("ME"))="ME"</formula>
    </cfRule>
  </conditionalFormatting>
  <conditionalFormatting sqref="Q47">
    <cfRule type="beginsWith" dxfId="3530" priority="3850" operator="beginsWith" text="ME-TL">
      <formula>LEFT(Q47,LEN("ME-TL"))="ME-TL"</formula>
    </cfRule>
  </conditionalFormatting>
  <conditionalFormatting sqref="Q47">
    <cfRule type="beginsWith" dxfId="3529" priority="3849" operator="beginsWith" text="M-W">
      <formula>LEFT(Q47,LEN("M-W"))="M-W"</formula>
    </cfRule>
  </conditionalFormatting>
  <conditionalFormatting sqref="Q47">
    <cfRule type="beginsWith" dxfId="3528" priority="3848" operator="beginsWith" text="M">
      <formula>LEFT(Q47,LEN("M"))="M"</formula>
    </cfRule>
  </conditionalFormatting>
  <conditionalFormatting sqref="Q47">
    <cfRule type="beginsWith" dxfId="3527" priority="3847" operator="beginsWith" text="Is-MB">
      <formula>LEFT(Q47,LEN("Is-MB"))="Is-MB"</formula>
    </cfRule>
  </conditionalFormatting>
  <conditionalFormatting sqref="Q47">
    <cfRule type="beginsWith" dxfId="3526" priority="3846" operator="beginsWith" text="Y">
      <formula>LEFT(Q47,LEN("Y"))="Y"</formula>
    </cfRule>
  </conditionalFormatting>
  <conditionalFormatting sqref="Q47">
    <cfRule type="beginsWith" dxfId="3525" priority="3845" operator="beginsWith" text="M-FP">
      <formula>LEFT(Q47,LEN("M-FP"))="M-FP"</formula>
    </cfRule>
  </conditionalFormatting>
  <conditionalFormatting sqref="Q47">
    <cfRule type="beginsWith" dxfId="3524" priority="3844" operator="beginsWith" text="ME">
      <formula>LEFT(Q47,LEN("ME"))="ME"</formula>
    </cfRule>
  </conditionalFormatting>
  <conditionalFormatting sqref="Q47">
    <cfRule type="beginsWith" dxfId="3523" priority="3843" operator="beginsWith" text="ME-TL">
      <formula>LEFT(Q47,LEN("ME-TL"))="ME-TL"</formula>
    </cfRule>
  </conditionalFormatting>
  <conditionalFormatting sqref="Q47">
    <cfRule type="beginsWith" dxfId="3522" priority="3842" operator="beginsWith" text="M-W">
      <formula>LEFT(Q47,LEN("M-W"))="M-W"</formula>
    </cfRule>
  </conditionalFormatting>
  <conditionalFormatting sqref="Q47">
    <cfRule type="beginsWith" dxfId="3521" priority="3841" operator="beginsWith" text="M">
      <formula>LEFT(Q47,LEN("M"))="M"</formula>
    </cfRule>
  </conditionalFormatting>
  <conditionalFormatting sqref="Q47">
    <cfRule type="beginsWith" dxfId="3520" priority="3840" operator="beginsWith" text="Is-MB">
      <formula>LEFT(Q47,LEN("Is-MB"))="Is-MB"</formula>
    </cfRule>
  </conditionalFormatting>
  <conditionalFormatting sqref="Q47">
    <cfRule type="beginsWith" dxfId="3519" priority="3839" operator="beginsWith" text="Y">
      <formula>LEFT(Q47,LEN("Y"))="Y"</formula>
    </cfRule>
  </conditionalFormatting>
  <conditionalFormatting sqref="Q47">
    <cfRule type="beginsWith" dxfId="3518" priority="3838" operator="beginsWith" text="M-FP">
      <formula>LEFT(Q47,LEN("M-FP"))="M-FP"</formula>
    </cfRule>
  </conditionalFormatting>
  <conditionalFormatting sqref="Q47">
    <cfRule type="beginsWith" dxfId="3517" priority="3837" operator="beginsWith" text="ME">
      <formula>LEFT(Q47,LEN("ME"))="ME"</formula>
    </cfRule>
  </conditionalFormatting>
  <conditionalFormatting sqref="Q47">
    <cfRule type="beginsWith" dxfId="3516" priority="3836" operator="beginsWith" text="ME-TL">
      <formula>LEFT(Q47,LEN("ME-TL"))="ME-TL"</formula>
    </cfRule>
  </conditionalFormatting>
  <conditionalFormatting sqref="Q47">
    <cfRule type="beginsWith" dxfId="3515" priority="3835" operator="beginsWith" text="M-W">
      <formula>LEFT(Q47,LEN("M-W"))="M-W"</formula>
    </cfRule>
  </conditionalFormatting>
  <conditionalFormatting sqref="X47">
    <cfRule type="beginsWith" dxfId="3514" priority="3834" operator="beginsWith" text="M">
      <formula>LEFT(X47,LEN("M"))="M"</formula>
    </cfRule>
  </conditionalFormatting>
  <conditionalFormatting sqref="X47">
    <cfRule type="beginsWith" dxfId="3513" priority="3833" operator="beginsWith" text="Is-MB">
      <formula>LEFT(X47,LEN("Is-MB"))="Is-MB"</formula>
    </cfRule>
  </conditionalFormatting>
  <conditionalFormatting sqref="X47">
    <cfRule type="beginsWith" dxfId="3512" priority="3832" operator="beginsWith" text="Y">
      <formula>LEFT(X47,LEN("Y"))="Y"</formula>
    </cfRule>
  </conditionalFormatting>
  <conditionalFormatting sqref="X47">
    <cfRule type="beginsWith" dxfId="3511" priority="3831" operator="beginsWith" text="M-FP">
      <formula>LEFT(X47,LEN("M-FP"))="M-FP"</formula>
    </cfRule>
  </conditionalFormatting>
  <conditionalFormatting sqref="X47">
    <cfRule type="beginsWith" dxfId="3510" priority="3830" operator="beginsWith" text="ME">
      <formula>LEFT(X47,LEN("ME"))="ME"</formula>
    </cfRule>
  </conditionalFormatting>
  <conditionalFormatting sqref="X47">
    <cfRule type="beginsWith" dxfId="3509" priority="3829" operator="beginsWith" text="ME-TL">
      <formula>LEFT(X47,LEN("ME-TL"))="ME-TL"</formula>
    </cfRule>
  </conditionalFormatting>
  <conditionalFormatting sqref="X47">
    <cfRule type="beginsWith" dxfId="3508" priority="3828" operator="beginsWith" text="M-W">
      <formula>LEFT(X47,LEN("M-W"))="M-W"</formula>
    </cfRule>
  </conditionalFormatting>
  <conditionalFormatting sqref="X47">
    <cfRule type="beginsWith" dxfId="3507" priority="3827" operator="beginsWith" text="M">
      <formula>LEFT(X47,LEN("M"))="M"</formula>
    </cfRule>
  </conditionalFormatting>
  <conditionalFormatting sqref="X47">
    <cfRule type="beginsWith" dxfId="3506" priority="3826" operator="beginsWith" text="Is-MB">
      <formula>LEFT(X47,LEN("Is-MB"))="Is-MB"</formula>
    </cfRule>
  </conditionalFormatting>
  <conditionalFormatting sqref="X47">
    <cfRule type="beginsWith" dxfId="3505" priority="3825" operator="beginsWith" text="Y">
      <formula>LEFT(X47,LEN("Y"))="Y"</formula>
    </cfRule>
  </conditionalFormatting>
  <conditionalFormatting sqref="X47">
    <cfRule type="beginsWith" dxfId="3504" priority="3824" operator="beginsWith" text="M-FP">
      <formula>LEFT(X47,LEN("M-FP"))="M-FP"</formula>
    </cfRule>
  </conditionalFormatting>
  <conditionalFormatting sqref="X47">
    <cfRule type="beginsWith" dxfId="3503" priority="3823" operator="beginsWith" text="ME">
      <formula>LEFT(X47,LEN("ME"))="ME"</formula>
    </cfRule>
  </conditionalFormatting>
  <conditionalFormatting sqref="X47">
    <cfRule type="beginsWith" dxfId="3502" priority="3822" operator="beginsWith" text="ME-TL">
      <formula>LEFT(X47,LEN("ME-TL"))="ME-TL"</formula>
    </cfRule>
  </conditionalFormatting>
  <conditionalFormatting sqref="X47">
    <cfRule type="beginsWith" dxfId="3501" priority="3821" operator="beginsWith" text="M-W">
      <formula>LEFT(X47,LEN("M-W"))="M-W"</formula>
    </cfRule>
  </conditionalFormatting>
  <conditionalFormatting sqref="X47">
    <cfRule type="beginsWith" dxfId="3500" priority="3820" operator="beginsWith" text="M">
      <formula>LEFT(X47,LEN("M"))="M"</formula>
    </cfRule>
  </conditionalFormatting>
  <conditionalFormatting sqref="X47">
    <cfRule type="beginsWith" dxfId="3499" priority="3819" operator="beginsWith" text="Is-MB">
      <formula>LEFT(X47,LEN("Is-MB"))="Is-MB"</formula>
    </cfRule>
  </conditionalFormatting>
  <conditionalFormatting sqref="X47">
    <cfRule type="beginsWith" dxfId="3498" priority="3818" operator="beginsWith" text="Y">
      <formula>LEFT(X47,LEN("Y"))="Y"</formula>
    </cfRule>
  </conditionalFormatting>
  <conditionalFormatting sqref="X47">
    <cfRule type="beginsWith" dxfId="3497" priority="3817" operator="beginsWith" text="M-FP">
      <formula>LEFT(X47,LEN("M-FP"))="M-FP"</formula>
    </cfRule>
  </conditionalFormatting>
  <conditionalFormatting sqref="X47">
    <cfRule type="beginsWith" dxfId="3496" priority="3816" operator="beginsWith" text="ME">
      <formula>LEFT(X47,LEN("ME"))="ME"</formula>
    </cfRule>
  </conditionalFormatting>
  <conditionalFormatting sqref="X47">
    <cfRule type="beginsWith" dxfId="3495" priority="3815" operator="beginsWith" text="ME-TL">
      <formula>LEFT(X47,LEN("ME-TL"))="ME-TL"</formula>
    </cfRule>
  </conditionalFormatting>
  <conditionalFormatting sqref="X47">
    <cfRule type="beginsWith" dxfId="3494" priority="3814" operator="beginsWith" text="M-W">
      <formula>LEFT(X47,LEN("M-W"))="M-W"</formula>
    </cfRule>
  </conditionalFormatting>
  <conditionalFormatting sqref="AE47">
    <cfRule type="beginsWith" dxfId="3493" priority="3813" operator="beginsWith" text="M">
      <formula>LEFT(AE47,LEN("M"))="M"</formula>
    </cfRule>
  </conditionalFormatting>
  <conditionalFormatting sqref="AE47">
    <cfRule type="beginsWith" dxfId="3492" priority="3812" operator="beginsWith" text="Is-MB">
      <formula>LEFT(AE47,LEN("Is-MB"))="Is-MB"</formula>
    </cfRule>
  </conditionalFormatting>
  <conditionalFormatting sqref="AE47">
    <cfRule type="beginsWith" dxfId="3491" priority="3811" operator="beginsWith" text="Y">
      <formula>LEFT(AE47,LEN("Y"))="Y"</formula>
    </cfRule>
  </conditionalFormatting>
  <conditionalFormatting sqref="AE47">
    <cfRule type="beginsWith" dxfId="3490" priority="3810" operator="beginsWith" text="M-FP">
      <formula>LEFT(AE47,LEN("M-FP"))="M-FP"</formula>
    </cfRule>
  </conditionalFormatting>
  <conditionalFormatting sqref="AE47">
    <cfRule type="beginsWith" dxfId="3489" priority="3809" operator="beginsWith" text="ME">
      <formula>LEFT(AE47,LEN("ME"))="ME"</formula>
    </cfRule>
  </conditionalFormatting>
  <conditionalFormatting sqref="AE47">
    <cfRule type="beginsWith" dxfId="3488" priority="3808" operator="beginsWith" text="ME-TL">
      <formula>LEFT(AE47,LEN("ME-TL"))="ME-TL"</formula>
    </cfRule>
  </conditionalFormatting>
  <conditionalFormatting sqref="AE47">
    <cfRule type="beginsWith" dxfId="3487" priority="3807" operator="beginsWith" text="M-W">
      <formula>LEFT(AE47,LEN("M-W"))="M-W"</formula>
    </cfRule>
  </conditionalFormatting>
  <conditionalFormatting sqref="AE47">
    <cfRule type="beginsWith" dxfId="3486" priority="3806" operator="beginsWith" text="M">
      <formula>LEFT(AE47,LEN("M"))="M"</formula>
    </cfRule>
  </conditionalFormatting>
  <conditionalFormatting sqref="AE47">
    <cfRule type="beginsWith" dxfId="3485" priority="3805" operator="beginsWith" text="Is-MB">
      <formula>LEFT(AE47,LEN("Is-MB"))="Is-MB"</formula>
    </cfRule>
  </conditionalFormatting>
  <conditionalFormatting sqref="AE47">
    <cfRule type="beginsWith" dxfId="3484" priority="3804" operator="beginsWith" text="Y">
      <formula>LEFT(AE47,LEN("Y"))="Y"</formula>
    </cfRule>
  </conditionalFormatting>
  <conditionalFormatting sqref="AE47">
    <cfRule type="beginsWith" dxfId="3483" priority="3803" operator="beginsWith" text="M-FP">
      <formula>LEFT(AE47,LEN("M-FP"))="M-FP"</formula>
    </cfRule>
  </conditionalFormatting>
  <conditionalFormatting sqref="AE47">
    <cfRule type="beginsWith" dxfId="3482" priority="3802" operator="beginsWith" text="ME">
      <formula>LEFT(AE47,LEN("ME"))="ME"</formula>
    </cfRule>
  </conditionalFormatting>
  <conditionalFormatting sqref="AE47">
    <cfRule type="beginsWith" dxfId="3481" priority="3801" operator="beginsWith" text="ME-TL">
      <formula>LEFT(AE47,LEN("ME-TL"))="ME-TL"</formula>
    </cfRule>
  </conditionalFormatting>
  <conditionalFormatting sqref="AE47">
    <cfRule type="beginsWith" dxfId="3480" priority="3800" operator="beginsWith" text="M-W">
      <formula>LEFT(AE47,LEN("M-W"))="M-W"</formula>
    </cfRule>
  </conditionalFormatting>
  <conditionalFormatting sqref="AE47">
    <cfRule type="beginsWith" dxfId="3479" priority="3799" operator="beginsWith" text="M">
      <formula>LEFT(AE47,LEN("M"))="M"</formula>
    </cfRule>
  </conditionalFormatting>
  <conditionalFormatting sqref="AE47">
    <cfRule type="beginsWith" dxfId="3478" priority="3798" operator="beginsWith" text="Is-MB">
      <formula>LEFT(AE47,LEN("Is-MB"))="Is-MB"</formula>
    </cfRule>
  </conditionalFormatting>
  <conditionalFormatting sqref="AE47">
    <cfRule type="beginsWith" dxfId="3477" priority="3797" operator="beginsWith" text="Y">
      <formula>LEFT(AE47,LEN("Y"))="Y"</formula>
    </cfRule>
  </conditionalFormatting>
  <conditionalFormatting sqref="AE47">
    <cfRule type="beginsWith" dxfId="3476" priority="3796" operator="beginsWith" text="M-FP">
      <formula>LEFT(AE47,LEN("M-FP"))="M-FP"</formula>
    </cfRule>
  </conditionalFormatting>
  <conditionalFormatting sqref="AE47">
    <cfRule type="beginsWith" dxfId="3475" priority="3795" operator="beginsWith" text="ME">
      <formula>LEFT(AE47,LEN("ME"))="ME"</formula>
    </cfRule>
  </conditionalFormatting>
  <conditionalFormatting sqref="AE47">
    <cfRule type="beginsWith" dxfId="3474" priority="3794" operator="beginsWith" text="ME-TL">
      <formula>LEFT(AE47,LEN("ME-TL"))="ME-TL"</formula>
    </cfRule>
  </conditionalFormatting>
  <conditionalFormatting sqref="AE47">
    <cfRule type="beginsWith" dxfId="3473" priority="3793" operator="beginsWith" text="M-W">
      <formula>LEFT(AE47,LEN("M-W"))="M-W"</formula>
    </cfRule>
  </conditionalFormatting>
  <conditionalFormatting sqref="AL47">
    <cfRule type="beginsWith" dxfId="3472" priority="3792" operator="beginsWith" text="M">
      <formula>LEFT(AL47,LEN("M"))="M"</formula>
    </cfRule>
  </conditionalFormatting>
  <conditionalFormatting sqref="AL47">
    <cfRule type="beginsWith" dxfId="3471" priority="3791" operator="beginsWith" text="Is-MB">
      <formula>LEFT(AL47,LEN("Is-MB"))="Is-MB"</formula>
    </cfRule>
  </conditionalFormatting>
  <conditionalFormatting sqref="AL47">
    <cfRule type="beginsWith" dxfId="3470" priority="3790" operator="beginsWith" text="Y">
      <formula>LEFT(AL47,LEN("Y"))="Y"</formula>
    </cfRule>
  </conditionalFormatting>
  <conditionalFormatting sqref="AL47">
    <cfRule type="beginsWith" dxfId="3469" priority="3789" operator="beginsWith" text="M-FP">
      <formula>LEFT(AL47,LEN("M-FP"))="M-FP"</formula>
    </cfRule>
  </conditionalFormatting>
  <conditionalFormatting sqref="AL47">
    <cfRule type="beginsWith" dxfId="3468" priority="3788" operator="beginsWith" text="ME">
      <formula>LEFT(AL47,LEN("ME"))="ME"</formula>
    </cfRule>
  </conditionalFormatting>
  <conditionalFormatting sqref="AL47">
    <cfRule type="beginsWith" dxfId="3467" priority="3787" operator="beginsWith" text="ME-TL">
      <formula>LEFT(AL47,LEN("ME-TL"))="ME-TL"</formula>
    </cfRule>
  </conditionalFormatting>
  <conditionalFormatting sqref="AL47">
    <cfRule type="beginsWith" dxfId="3466" priority="3786" operator="beginsWith" text="M-W">
      <formula>LEFT(AL47,LEN("M-W"))="M-W"</formula>
    </cfRule>
  </conditionalFormatting>
  <conditionalFormatting sqref="AL47">
    <cfRule type="beginsWith" dxfId="3465" priority="3785" operator="beginsWith" text="M">
      <formula>LEFT(AL47,LEN("M"))="M"</formula>
    </cfRule>
  </conditionalFormatting>
  <conditionalFormatting sqref="AL47">
    <cfRule type="beginsWith" dxfId="3464" priority="3784" operator="beginsWith" text="Is-MB">
      <formula>LEFT(AL47,LEN("Is-MB"))="Is-MB"</formula>
    </cfRule>
  </conditionalFormatting>
  <conditionalFormatting sqref="AL47">
    <cfRule type="beginsWith" dxfId="3463" priority="3783" operator="beginsWith" text="Y">
      <formula>LEFT(AL47,LEN("Y"))="Y"</formula>
    </cfRule>
  </conditionalFormatting>
  <conditionalFormatting sqref="AL47">
    <cfRule type="beginsWith" dxfId="3462" priority="3782" operator="beginsWith" text="M-FP">
      <formula>LEFT(AL47,LEN("M-FP"))="M-FP"</formula>
    </cfRule>
  </conditionalFormatting>
  <conditionalFormatting sqref="AL47">
    <cfRule type="beginsWith" dxfId="3461" priority="3781" operator="beginsWith" text="ME">
      <formula>LEFT(AL47,LEN("ME"))="ME"</formula>
    </cfRule>
  </conditionalFormatting>
  <conditionalFormatting sqref="AL47">
    <cfRule type="beginsWith" dxfId="3460" priority="3780" operator="beginsWith" text="ME-TL">
      <formula>LEFT(AL47,LEN("ME-TL"))="ME-TL"</formula>
    </cfRule>
  </conditionalFormatting>
  <conditionalFormatting sqref="AL47">
    <cfRule type="beginsWith" dxfId="3459" priority="3779" operator="beginsWith" text="M-W">
      <formula>LEFT(AL47,LEN("M-W"))="M-W"</formula>
    </cfRule>
  </conditionalFormatting>
  <conditionalFormatting sqref="AL47">
    <cfRule type="beginsWith" dxfId="3458" priority="3778" operator="beginsWith" text="M">
      <formula>LEFT(AL47,LEN("M"))="M"</formula>
    </cfRule>
  </conditionalFormatting>
  <conditionalFormatting sqref="AL47">
    <cfRule type="beginsWith" dxfId="3457" priority="3777" operator="beginsWith" text="Is-MB">
      <formula>LEFT(AL47,LEN("Is-MB"))="Is-MB"</formula>
    </cfRule>
  </conditionalFormatting>
  <conditionalFormatting sqref="AL47">
    <cfRule type="beginsWith" dxfId="3456" priority="3776" operator="beginsWith" text="Y">
      <formula>LEFT(AL47,LEN("Y"))="Y"</formula>
    </cfRule>
  </conditionalFormatting>
  <conditionalFormatting sqref="AL47">
    <cfRule type="beginsWith" dxfId="3455" priority="3775" operator="beginsWith" text="M-FP">
      <formula>LEFT(AL47,LEN("M-FP"))="M-FP"</formula>
    </cfRule>
  </conditionalFormatting>
  <conditionalFormatting sqref="AL47">
    <cfRule type="beginsWith" dxfId="3454" priority="3774" operator="beginsWith" text="ME">
      <formula>LEFT(AL47,LEN("ME"))="ME"</formula>
    </cfRule>
  </conditionalFormatting>
  <conditionalFormatting sqref="AL47">
    <cfRule type="beginsWith" dxfId="3453" priority="3773" operator="beginsWith" text="ME-TL">
      <formula>LEFT(AL47,LEN("ME-TL"))="ME-TL"</formula>
    </cfRule>
  </conditionalFormatting>
  <conditionalFormatting sqref="AL47">
    <cfRule type="beginsWith" dxfId="3452" priority="3772" operator="beginsWith" text="M-W">
      <formula>LEFT(AL47,LEN("M-W"))="M-W"</formula>
    </cfRule>
  </conditionalFormatting>
  <conditionalFormatting sqref="AS47">
    <cfRule type="beginsWith" dxfId="3451" priority="3771" operator="beginsWith" text="M">
      <formula>LEFT(AS47,LEN("M"))="M"</formula>
    </cfRule>
  </conditionalFormatting>
  <conditionalFormatting sqref="AS47">
    <cfRule type="beginsWith" dxfId="3450" priority="3770" operator="beginsWith" text="Is-MB">
      <formula>LEFT(AS47,LEN("Is-MB"))="Is-MB"</formula>
    </cfRule>
  </conditionalFormatting>
  <conditionalFormatting sqref="AS47">
    <cfRule type="beginsWith" dxfId="3449" priority="3769" operator="beginsWith" text="Y">
      <formula>LEFT(AS47,LEN("Y"))="Y"</formula>
    </cfRule>
  </conditionalFormatting>
  <conditionalFormatting sqref="AS47">
    <cfRule type="beginsWith" dxfId="3448" priority="3768" operator="beginsWith" text="M-FP">
      <formula>LEFT(AS47,LEN("M-FP"))="M-FP"</formula>
    </cfRule>
  </conditionalFormatting>
  <conditionalFormatting sqref="AS47">
    <cfRule type="beginsWith" dxfId="3447" priority="3767" operator="beginsWith" text="ME">
      <formula>LEFT(AS47,LEN("ME"))="ME"</formula>
    </cfRule>
  </conditionalFormatting>
  <conditionalFormatting sqref="AS47">
    <cfRule type="beginsWith" dxfId="3446" priority="3766" operator="beginsWith" text="ME-TL">
      <formula>LEFT(AS47,LEN("ME-TL"))="ME-TL"</formula>
    </cfRule>
  </conditionalFormatting>
  <conditionalFormatting sqref="AS47">
    <cfRule type="beginsWith" dxfId="3445" priority="3765" operator="beginsWith" text="M-W">
      <formula>LEFT(AS47,LEN("M-W"))="M-W"</formula>
    </cfRule>
  </conditionalFormatting>
  <conditionalFormatting sqref="AS47">
    <cfRule type="beginsWith" dxfId="3444" priority="3764" operator="beginsWith" text="M">
      <formula>LEFT(AS47,LEN("M"))="M"</formula>
    </cfRule>
  </conditionalFormatting>
  <conditionalFormatting sqref="AS47">
    <cfRule type="beginsWith" dxfId="3443" priority="3763" operator="beginsWith" text="Is-MB">
      <formula>LEFT(AS47,LEN("Is-MB"))="Is-MB"</formula>
    </cfRule>
  </conditionalFormatting>
  <conditionalFormatting sqref="AS47">
    <cfRule type="beginsWith" dxfId="3442" priority="3762" operator="beginsWith" text="Y">
      <formula>LEFT(AS47,LEN("Y"))="Y"</formula>
    </cfRule>
  </conditionalFormatting>
  <conditionalFormatting sqref="AS47">
    <cfRule type="beginsWith" dxfId="3441" priority="3761" operator="beginsWith" text="M-FP">
      <formula>LEFT(AS47,LEN("M-FP"))="M-FP"</formula>
    </cfRule>
  </conditionalFormatting>
  <conditionalFormatting sqref="AS47">
    <cfRule type="beginsWith" dxfId="3440" priority="3760" operator="beginsWith" text="ME">
      <formula>LEFT(AS47,LEN("ME"))="ME"</formula>
    </cfRule>
  </conditionalFormatting>
  <conditionalFormatting sqref="AS47">
    <cfRule type="beginsWith" dxfId="3439" priority="3759" operator="beginsWith" text="ME-TL">
      <formula>LEFT(AS47,LEN("ME-TL"))="ME-TL"</formula>
    </cfRule>
  </conditionalFormatting>
  <conditionalFormatting sqref="AS47">
    <cfRule type="beginsWith" dxfId="3438" priority="3758" operator="beginsWith" text="M-W">
      <formula>LEFT(AS47,LEN("M-W"))="M-W"</formula>
    </cfRule>
  </conditionalFormatting>
  <conditionalFormatting sqref="AS47">
    <cfRule type="beginsWith" dxfId="3437" priority="3757" operator="beginsWith" text="M">
      <formula>LEFT(AS47,LEN("M"))="M"</formula>
    </cfRule>
  </conditionalFormatting>
  <conditionalFormatting sqref="AS47">
    <cfRule type="beginsWith" dxfId="3436" priority="3756" operator="beginsWith" text="Is-MB">
      <formula>LEFT(AS47,LEN("Is-MB"))="Is-MB"</formula>
    </cfRule>
  </conditionalFormatting>
  <conditionalFormatting sqref="AS47">
    <cfRule type="beginsWith" dxfId="3435" priority="3755" operator="beginsWith" text="Y">
      <formula>LEFT(AS47,LEN("Y"))="Y"</formula>
    </cfRule>
  </conditionalFormatting>
  <conditionalFormatting sqref="AS47">
    <cfRule type="beginsWith" dxfId="3434" priority="3754" operator="beginsWith" text="M-FP">
      <formula>LEFT(AS47,LEN("M-FP"))="M-FP"</formula>
    </cfRule>
  </conditionalFormatting>
  <conditionalFormatting sqref="AS47">
    <cfRule type="beginsWith" dxfId="3433" priority="3753" operator="beginsWith" text="ME">
      <formula>LEFT(AS47,LEN("ME"))="ME"</formula>
    </cfRule>
  </conditionalFormatting>
  <conditionalFormatting sqref="AS47">
    <cfRule type="beginsWith" dxfId="3432" priority="3752" operator="beginsWith" text="ME-TL">
      <formula>LEFT(AS47,LEN("ME-TL"))="ME-TL"</formula>
    </cfRule>
  </conditionalFormatting>
  <conditionalFormatting sqref="AS47">
    <cfRule type="beginsWith" dxfId="3431" priority="3751" operator="beginsWith" text="M-W">
      <formula>LEFT(AS47,LEN("M-W"))="M-W"</formula>
    </cfRule>
  </conditionalFormatting>
  <conditionalFormatting sqref="AZ47">
    <cfRule type="beginsWith" dxfId="3430" priority="3750" operator="beginsWith" text="M">
      <formula>LEFT(AZ47,LEN("M"))="M"</formula>
    </cfRule>
  </conditionalFormatting>
  <conditionalFormatting sqref="AZ47">
    <cfRule type="beginsWith" dxfId="3429" priority="3749" operator="beginsWith" text="Is-MB">
      <formula>LEFT(AZ47,LEN("Is-MB"))="Is-MB"</formula>
    </cfRule>
  </conditionalFormatting>
  <conditionalFormatting sqref="AZ47">
    <cfRule type="beginsWith" dxfId="3428" priority="3748" operator="beginsWith" text="Y">
      <formula>LEFT(AZ47,LEN("Y"))="Y"</formula>
    </cfRule>
  </conditionalFormatting>
  <conditionalFormatting sqref="AZ47">
    <cfRule type="beginsWith" dxfId="3427" priority="3747" operator="beginsWith" text="M-FP">
      <formula>LEFT(AZ47,LEN("M-FP"))="M-FP"</formula>
    </cfRule>
  </conditionalFormatting>
  <conditionalFormatting sqref="AZ47">
    <cfRule type="beginsWith" dxfId="3426" priority="3746" operator="beginsWith" text="ME">
      <formula>LEFT(AZ47,LEN("ME"))="ME"</formula>
    </cfRule>
  </conditionalFormatting>
  <conditionalFormatting sqref="AZ47">
    <cfRule type="beginsWith" dxfId="3425" priority="3745" operator="beginsWith" text="ME-TL">
      <formula>LEFT(AZ47,LEN("ME-TL"))="ME-TL"</formula>
    </cfRule>
  </conditionalFormatting>
  <conditionalFormatting sqref="AZ47">
    <cfRule type="beginsWith" dxfId="3424" priority="3744" operator="beginsWith" text="M-W">
      <formula>LEFT(AZ47,LEN("M-W"))="M-W"</formula>
    </cfRule>
  </conditionalFormatting>
  <conditionalFormatting sqref="AZ47">
    <cfRule type="beginsWith" dxfId="3423" priority="3743" operator="beginsWith" text="M">
      <formula>LEFT(AZ47,LEN("M"))="M"</formula>
    </cfRule>
  </conditionalFormatting>
  <conditionalFormatting sqref="AZ47">
    <cfRule type="beginsWith" dxfId="3422" priority="3742" operator="beginsWith" text="Is-MB">
      <formula>LEFT(AZ47,LEN("Is-MB"))="Is-MB"</formula>
    </cfRule>
  </conditionalFormatting>
  <conditionalFormatting sqref="AZ47">
    <cfRule type="beginsWith" dxfId="3421" priority="3741" operator="beginsWith" text="Y">
      <formula>LEFT(AZ47,LEN("Y"))="Y"</formula>
    </cfRule>
  </conditionalFormatting>
  <conditionalFormatting sqref="AZ47">
    <cfRule type="beginsWith" dxfId="3420" priority="3740" operator="beginsWith" text="M-FP">
      <formula>LEFT(AZ47,LEN("M-FP"))="M-FP"</formula>
    </cfRule>
  </conditionalFormatting>
  <conditionalFormatting sqref="AZ47">
    <cfRule type="beginsWith" dxfId="3419" priority="3739" operator="beginsWith" text="ME">
      <formula>LEFT(AZ47,LEN("ME"))="ME"</formula>
    </cfRule>
  </conditionalFormatting>
  <conditionalFormatting sqref="AZ47">
    <cfRule type="beginsWith" dxfId="3418" priority="3738" operator="beginsWith" text="ME-TL">
      <formula>LEFT(AZ47,LEN("ME-TL"))="ME-TL"</formula>
    </cfRule>
  </conditionalFormatting>
  <conditionalFormatting sqref="AZ47">
    <cfRule type="beginsWith" dxfId="3417" priority="3737" operator="beginsWith" text="M-W">
      <formula>LEFT(AZ47,LEN("M-W"))="M-W"</formula>
    </cfRule>
  </conditionalFormatting>
  <conditionalFormatting sqref="AZ47">
    <cfRule type="beginsWith" dxfId="3416" priority="3736" operator="beginsWith" text="M">
      <formula>LEFT(AZ47,LEN("M"))="M"</formula>
    </cfRule>
  </conditionalFormatting>
  <conditionalFormatting sqref="AZ47">
    <cfRule type="beginsWith" dxfId="3415" priority="3735" operator="beginsWith" text="Is-MB">
      <formula>LEFT(AZ47,LEN("Is-MB"))="Is-MB"</formula>
    </cfRule>
  </conditionalFormatting>
  <conditionalFormatting sqref="AZ47">
    <cfRule type="beginsWith" dxfId="3414" priority="3734" operator="beginsWith" text="Y">
      <formula>LEFT(AZ47,LEN("Y"))="Y"</formula>
    </cfRule>
  </conditionalFormatting>
  <conditionalFormatting sqref="AZ47">
    <cfRule type="beginsWith" dxfId="3413" priority="3733" operator="beginsWith" text="M-FP">
      <formula>LEFT(AZ47,LEN("M-FP"))="M-FP"</formula>
    </cfRule>
  </conditionalFormatting>
  <conditionalFormatting sqref="AZ47">
    <cfRule type="beginsWith" dxfId="3412" priority="3732" operator="beginsWith" text="ME">
      <formula>LEFT(AZ47,LEN("ME"))="ME"</formula>
    </cfRule>
  </conditionalFormatting>
  <conditionalFormatting sqref="AZ47">
    <cfRule type="beginsWith" dxfId="3411" priority="3731" operator="beginsWith" text="ME-TL">
      <formula>LEFT(AZ47,LEN("ME-TL"))="ME-TL"</formula>
    </cfRule>
  </conditionalFormatting>
  <conditionalFormatting sqref="AZ47">
    <cfRule type="beginsWith" dxfId="3410" priority="3730" operator="beginsWith" text="M-W">
      <formula>LEFT(AZ47,LEN("M-W"))="M-W"</formula>
    </cfRule>
  </conditionalFormatting>
  <conditionalFormatting sqref="BG47">
    <cfRule type="beginsWith" dxfId="3409" priority="3729" operator="beginsWith" text="M">
      <formula>LEFT(BG47,LEN("M"))="M"</formula>
    </cfRule>
  </conditionalFormatting>
  <conditionalFormatting sqref="BG47">
    <cfRule type="beginsWith" dxfId="3408" priority="3728" operator="beginsWith" text="Is-MB">
      <formula>LEFT(BG47,LEN("Is-MB"))="Is-MB"</formula>
    </cfRule>
  </conditionalFormatting>
  <conditionalFormatting sqref="BG47">
    <cfRule type="beginsWith" dxfId="3407" priority="3727" operator="beginsWith" text="Y">
      <formula>LEFT(BG47,LEN("Y"))="Y"</formula>
    </cfRule>
  </conditionalFormatting>
  <conditionalFormatting sqref="BG47">
    <cfRule type="beginsWith" dxfId="3406" priority="3726" operator="beginsWith" text="M-FP">
      <formula>LEFT(BG47,LEN("M-FP"))="M-FP"</formula>
    </cfRule>
  </conditionalFormatting>
  <conditionalFormatting sqref="BG47">
    <cfRule type="beginsWith" dxfId="3405" priority="3725" operator="beginsWith" text="ME">
      <formula>LEFT(BG47,LEN("ME"))="ME"</formula>
    </cfRule>
  </conditionalFormatting>
  <conditionalFormatting sqref="BG47">
    <cfRule type="beginsWith" dxfId="3404" priority="3724" operator="beginsWith" text="ME-TL">
      <formula>LEFT(BG47,LEN("ME-TL"))="ME-TL"</formula>
    </cfRule>
  </conditionalFormatting>
  <conditionalFormatting sqref="BG47">
    <cfRule type="beginsWith" dxfId="3403" priority="3723" operator="beginsWith" text="M-W">
      <formula>LEFT(BG47,LEN("M-W"))="M-W"</formula>
    </cfRule>
  </conditionalFormatting>
  <conditionalFormatting sqref="BG47">
    <cfRule type="beginsWith" dxfId="3402" priority="3722" operator="beginsWith" text="M">
      <formula>LEFT(BG47,LEN("M"))="M"</formula>
    </cfRule>
  </conditionalFormatting>
  <conditionalFormatting sqref="BG47">
    <cfRule type="beginsWith" dxfId="3401" priority="3721" operator="beginsWith" text="Is-MB">
      <formula>LEFT(BG47,LEN("Is-MB"))="Is-MB"</formula>
    </cfRule>
  </conditionalFormatting>
  <conditionalFormatting sqref="BG47">
    <cfRule type="beginsWith" dxfId="3400" priority="3720" operator="beginsWith" text="Y">
      <formula>LEFT(BG47,LEN("Y"))="Y"</formula>
    </cfRule>
  </conditionalFormatting>
  <conditionalFormatting sqref="BG47">
    <cfRule type="beginsWith" dxfId="3399" priority="3719" operator="beginsWith" text="M-FP">
      <formula>LEFT(BG47,LEN("M-FP"))="M-FP"</formula>
    </cfRule>
  </conditionalFormatting>
  <conditionalFormatting sqref="BG47">
    <cfRule type="beginsWith" dxfId="3398" priority="3718" operator="beginsWith" text="ME">
      <formula>LEFT(BG47,LEN("ME"))="ME"</formula>
    </cfRule>
  </conditionalFormatting>
  <conditionalFormatting sqref="BG47">
    <cfRule type="beginsWith" dxfId="3397" priority="3717" operator="beginsWith" text="ME-TL">
      <formula>LEFT(BG47,LEN("ME-TL"))="ME-TL"</formula>
    </cfRule>
  </conditionalFormatting>
  <conditionalFormatting sqref="BG47">
    <cfRule type="beginsWith" dxfId="3396" priority="3716" operator="beginsWith" text="M-W">
      <formula>LEFT(BG47,LEN("M-W"))="M-W"</formula>
    </cfRule>
  </conditionalFormatting>
  <conditionalFormatting sqref="BG47">
    <cfRule type="beginsWith" dxfId="3395" priority="3715" operator="beginsWith" text="M">
      <formula>LEFT(BG47,LEN("M"))="M"</formula>
    </cfRule>
  </conditionalFormatting>
  <conditionalFormatting sqref="BG47">
    <cfRule type="beginsWith" dxfId="3394" priority="3714" operator="beginsWith" text="Is-MB">
      <formula>LEFT(BG47,LEN("Is-MB"))="Is-MB"</formula>
    </cfRule>
  </conditionalFormatting>
  <conditionalFormatting sqref="BG47">
    <cfRule type="beginsWith" dxfId="3393" priority="3713" operator="beginsWith" text="Y">
      <formula>LEFT(BG47,LEN("Y"))="Y"</formula>
    </cfRule>
  </conditionalFormatting>
  <conditionalFormatting sqref="BG47">
    <cfRule type="beginsWith" dxfId="3392" priority="3712" operator="beginsWith" text="M-FP">
      <formula>LEFT(BG47,LEN("M-FP"))="M-FP"</formula>
    </cfRule>
  </conditionalFormatting>
  <conditionalFormatting sqref="BG47">
    <cfRule type="beginsWith" dxfId="3391" priority="3711" operator="beginsWith" text="ME">
      <formula>LEFT(BG47,LEN("ME"))="ME"</formula>
    </cfRule>
  </conditionalFormatting>
  <conditionalFormatting sqref="BG47">
    <cfRule type="beginsWith" dxfId="3390" priority="3710" operator="beginsWith" text="ME-TL">
      <formula>LEFT(BG47,LEN("ME-TL"))="ME-TL"</formula>
    </cfRule>
  </conditionalFormatting>
  <conditionalFormatting sqref="BG47">
    <cfRule type="beginsWith" dxfId="3389" priority="3709" operator="beginsWith" text="M-W">
      <formula>LEFT(BG47,LEN("M-W"))="M-W"</formula>
    </cfRule>
  </conditionalFormatting>
  <conditionalFormatting sqref="N77">
    <cfRule type="beginsWith" dxfId="3388" priority="3708" operator="beginsWith" text="M">
      <formula>LEFT(N77,LEN("M"))="M"</formula>
    </cfRule>
  </conditionalFormatting>
  <conditionalFormatting sqref="N77">
    <cfRule type="beginsWith" dxfId="3387" priority="3707" operator="beginsWith" text="Is-MB">
      <formula>LEFT(N77,LEN("Is-MB"))="Is-MB"</formula>
    </cfRule>
  </conditionalFormatting>
  <conditionalFormatting sqref="N77">
    <cfRule type="beginsWith" dxfId="3386" priority="3706" operator="beginsWith" text="Y">
      <formula>LEFT(N77,LEN("Y"))="Y"</formula>
    </cfRule>
  </conditionalFormatting>
  <conditionalFormatting sqref="N77">
    <cfRule type="beginsWith" dxfId="3385" priority="3705" operator="beginsWith" text="M-FP">
      <formula>LEFT(N77,LEN("M-FP"))="M-FP"</formula>
    </cfRule>
  </conditionalFormatting>
  <conditionalFormatting sqref="N77">
    <cfRule type="beginsWith" dxfId="3384" priority="3704" operator="beginsWith" text="ME">
      <formula>LEFT(N77,LEN("ME"))="ME"</formula>
    </cfRule>
  </conditionalFormatting>
  <conditionalFormatting sqref="N77">
    <cfRule type="beginsWith" dxfId="3383" priority="3703" operator="beginsWith" text="ME-TL">
      <formula>LEFT(N77,LEN("ME-TL"))="ME-TL"</formula>
    </cfRule>
  </conditionalFormatting>
  <conditionalFormatting sqref="N77">
    <cfRule type="beginsWith" dxfId="3382" priority="3702" operator="beginsWith" text="M-W">
      <formula>LEFT(N77,LEN("M-W"))="M-W"</formula>
    </cfRule>
  </conditionalFormatting>
  <conditionalFormatting sqref="X45">
    <cfRule type="beginsWith" dxfId="3381" priority="3701" operator="beginsWith" text="M">
      <formula>LEFT(X45,LEN("M"))="M"</formula>
    </cfRule>
  </conditionalFormatting>
  <conditionalFormatting sqref="X45">
    <cfRule type="beginsWith" dxfId="3380" priority="3700" operator="beginsWith" text="Is-MB">
      <formula>LEFT(X45,LEN("Is-MB"))="Is-MB"</formula>
    </cfRule>
  </conditionalFormatting>
  <conditionalFormatting sqref="X45">
    <cfRule type="beginsWith" dxfId="3379" priority="3699" operator="beginsWith" text="Y">
      <formula>LEFT(X45,LEN("Y"))="Y"</formula>
    </cfRule>
  </conditionalFormatting>
  <conditionalFormatting sqref="X45">
    <cfRule type="beginsWith" dxfId="3378" priority="3698" operator="beginsWith" text="M-FP">
      <formula>LEFT(X45,LEN("M-FP"))="M-FP"</formula>
    </cfRule>
  </conditionalFormatting>
  <conditionalFormatting sqref="X45">
    <cfRule type="beginsWith" dxfId="3377" priority="3697" operator="beginsWith" text="ME">
      <formula>LEFT(X45,LEN("ME"))="ME"</formula>
    </cfRule>
  </conditionalFormatting>
  <conditionalFormatting sqref="X45">
    <cfRule type="beginsWith" dxfId="3376" priority="3696" operator="beginsWith" text="ME-TL">
      <formula>LEFT(X45,LEN("ME-TL"))="ME-TL"</formula>
    </cfRule>
  </conditionalFormatting>
  <conditionalFormatting sqref="X45">
    <cfRule type="beginsWith" dxfId="3375" priority="3695" operator="beginsWith" text="M-W">
      <formula>LEFT(X45,LEN("M-W"))="M-W"</formula>
    </cfRule>
  </conditionalFormatting>
  <conditionalFormatting sqref="X45">
    <cfRule type="beginsWith" dxfId="3374" priority="3694" operator="beginsWith" text="M">
      <formula>LEFT(X45,LEN("M"))="M"</formula>
    </cfRule>
  </conditionalFormatting>
  <conditionalFormatting sqref="X45">
    <cfRule type="beginsWith" dxfId="3373" priority="3693" operator="beginsWith" text="Is-MB">
      <formula>LEFT(X45,LEN("Is-MB"))="Is-MB"</formula>
    </cfRule>
  </conditionalFormatting>
  <conditionalFormatting sqref="X45">
    <cfRule type="beginsWith" dxfId="3372" priority="3692" operator="beginsWith" text="Y">
      <formula>LEFT(X45,LEN("Y"))="Y"</formula>
    </cfRule>
  </conditionalFormatting>
  <conditionalFormatting sqref="X45">
    <cfRule type="beginsWith" dxfId="3371" priority="3691" operator="beginsWith" text="M-FP">
      <formula>LEFT(X45,LEN("M-FP"))="M-FP"</formula>
    </cfRule>
  </conditionalFormatting>
  <conditionalFormatting sqref="X45">
    <cfRule type="beginsWith" dxfId="3370" priority="3690" operator="beginsWith" text="ME">
      <formula>LEFT(X45,LEN("ME"))="ME"</formula>
    </cfRule>
  </conditionalFormatting>
  <conditionalFormatting sqref="X45">
    <cfRule type="beginsWith" dxfId="3369" priority="3689" operator="beginsWith" text="ME-TL">
      <formula>LEFT(X45,LEN("ME-TL"))="ME-TL"</formula>
    </cfRule>
  </conditionalFormatting>
  <conditionalFormatting sqref="X45">
    <cfRule type="beginsWith" dxfId="3368" priority="3688" operator="beginsWith" text="M-W">
      <formula>LEFT(X45,LEN("M-W"))="M-W"</formula>
    </cfRule>
  </conditionalFormatting>
  <conditionalFormatting sqref="A17:E17 A21:E21 A25:E25 A29:E29 A33:E33 A37:E37 A41:E41 A45:E45 A49:E49 A53:E53 A57:E57 A61:E61 A65:E65 A69:E69 A73:E73 A77:E77 A81:E81 A85:E85 A89:E89 A93:E93 A97:E97 A101:E101 A105:E105 A109:E109 A113:E113 A117:E117 A121:E121 A11:E13">
    <cfRule type="expression" dxfId="3367" priority="8317">
      <formula>IF(AND($A11=$A13,#REF!=#REF!,$B11=$B13),0,1)</formula>
    </cfRule>
  </conditionalFormatting>
  <conditionalFormatting sqref="G14:M14 S14:NJ14">
    <cfRule type="expression" dxfId="3366" priority="3608">
      <formula>$F14="-"</formula>
    </cfRule>
    <cfRule type="expression" dxfId="3365" priority="3610">
      <formula>G$3=$PQ14</formula>
    </cfRule>
    <cfRule type="expression" dxfId="3364" priority="3612">
      <formula>G$3=$PO14</formula>
    </cfRule>
    <cfRule type="expression" dxfId="3363" priority="3614">
      <formula>G$3=$PM14</formula>
    </cfRule>
    <cfRule type="expression" dxfId="3362" priority="3616">
      <formula>IF(AND(RIGHT(G14,1)=".",LEFT(G14,2)&lt;&gt;"T1",LEFT(G14,2)&lt;&gt;"T2",LEFT(G14,2)&lt;&gt;"T3",LEFT(G14,2)&lt;&gt;"T4",LEFT(G14,2)&lt;&gt;"T5",LEFT(G14,2)&lt;&gt;"T6",LEFT(G14,2)&lt;&gt;"T7",LEFT(G14,2)&lt;&gt;"T8",LEFT(G14,2)&lt;&gt;"T9"),1,0)</formula>
    </cfRule>
    <cfRule type="expression" dxfId="3361" priority="3618">
      <formula>IF($C14&gt;0,IF(G$4=7,1,0),0)</formula>
    </cfRule>
    <cfRule type="expression" dxfId="3360" priority="3620">
      <formula>$C14&gt;0</formula>
    </cfRule>
    <cfRule type="expression" dxfId="3359" priority="3622">
      <formula>IF(OR(G14="T1.",G14="T2.",G14="T3.",G14="T4.",G14="T5.",G14="T6.",G14="T7.",G14="T8.",G14="T9."),1,0)</formula>
    </cfRule>
    <cfRule type="endsWith" dxfId="3358" priority="3624" operator="endsWith" text="_A">
      <formula>RIGHT(G14,LEN("_A"))="_A"</formula>
    </cfRule>
    <cfRule type="endsWith" dxfId="3357" priority="3626" operator="endsWith" text="_e">
      <formula>RIGHT(G14,LEN("_e"))="_e"</formula>
    </cfRule>
    <cfRule type="beginsWith" dxfId="3356" priority="3628" operator="beginsWith" text="ME-TL-AS">
      <formula>LEFT(G14,LEN("ME-TL-AS"))="ME-TL-AS"</formula>
    </cfRule>
    <cfRule type="beginsWith" dxfId="3355" priority="3630" operator="beginsWith" text="T-AS">
      <formula>LEFT(G14,LEN("T-AS"))="T-AS"</formula>
    </cfRule>
    <cfRule type="beginsWith" dxfId="3354" priority="3632" operator="beginsWith" text="M-KL">
      <formula>LEFT(G14,LEN("M-KL"))="M-KL"</formula>
    </cfRule>
    <cfRule type="beginsWith" dxfId="3353" priority="3634" operator="beginsWith" text="Ss">
      <formula>LEFT(G14,LEN("Ss"))="Ss"</formula>
    </cfRule>
    <cfRule type="beginsWith" dxfId="3352" priority="3636" operator="beginsWith" text="AC">
      <formula>LEFT(G14,LEN("AC"))="AC"</formula>
    </cfRule>
    <cfRule type="beginsWith" dxfId="3351" priority="3638" operator="beginsWith" text="TT">
      <formula>LEFT(G14,LEN("TT"))="TT"</formula>
    </cfRule>
    <cfRule type="beginsWith" dxfId="3350" priority="3640" operator="beginsWith" text="S">
      <formula>LEFT(G14,LEN("S"))="S"</formula>
    </cfRule>
    <cfRule type="beginsWith" dxfId="3349" priority="3642" operator="beginsWith" text="PK">
      <formula>LEFT(G14,LEN("PK"))="PK"</formula>
    </cfRule>
    <cfRule type="beginsWith" dxfId="3348" priority="3644" operator="beginsWith" text="W">
      <formula>LEFT(G14,LEN("W"))="W"</formula>
    </cfRule>
    <cfRule type="beginsWith" dxfId="3347" priority="3646" operator="beginsWith" text="Id">
      <formula>LEFT(G14,LEN("Id"))="Id"</formula>
    </cfRule>
    <cfRule type="beginsWith" dxfId="3346" priority="3648" operator="beginsWith" text="K">
      <formula>LEFT(G14,LEN("K"))="K"</formula>
    </cfRule>
    <cfRule type="beginsWith" dxfId="3345" priority="3650" operator="beginsWith" text="Is-ME">
      <formula>LEFT(G14,LEN("Is-ME"))="Is-ME"</formula>
    </cfRule>
    <cfRule type="beginsWith" dxfId="3344" priority="3652" operator="beginsWith" text="Is-Fe">
      <formula>LEFT(G14,LEN("Is-Fe"))="Is-Fe"</formula>
    </cfRule>
    <cfRule type="beginsWith" dxfId="3343" priority="3654" operator="beginsWith" text="Is">
      <formula>LEFT(G14,LEN("Is"))="Is"</formula>
    </cfRule>
    <cfRule type="beginsWith" dxfId="3342" priority="3656" operator="beginsWith" text="T">
      <formula>LEFT(G14,LEN("T"))="T"</formula>
    </cfRule>
    <cfRule type="beginsWith" dxfId="3341" priority="3658" operator="beginsWith" text="Mg">
      <formula>LEFT(G14,LEN("Mg"))="Mg"</formula>
    </cfRule>
    <cfRule type="beginsWith" dxfId="3340" priority="3660" operator="beginsWith" text="VM">
      <formula>LEFT(G14,LEN("VM"))="VM"</formula>
    </cfRule>
    <cfRule type="beginsWith" dxfId="3339" priority="3662" operator="beginsWith" text="ZW5">
      <formula>LEFT(G14,LEN("ZW5"))="ZW5"</formula>
    </cfRule>
    <cfRule type="beginsWith" dxfId="3338" priority="3664" operator="beginsWith" text="ZW3">
      <formula>LEFT(G14,LEN("ZW3"))="ZW3"</formula>
    </cfRule>
    <cfRule type="beginsWith" dxfId="3337" priority="3666" operator="beginsWith" text="ZW1">
      <formula>LEFT(G14,LEN("ZW1"))="ZW1"</formula>
    </cfRule>
    <cfRule type="beginsWith" dxfId="3336" priority="3668" operator="beginsWith" text="EW6">
      <formula>LEFT(G14,LEN("EW6"))="EW6"</formula>
    </cfRule>
    <cfRule type="beginsWith" dxfId="3335" priority="3670" operator="beginsWith" text="EW4">
      <formula>LEFT(G14,LEN("EW4"))="EW4"</formula>
    </cfRule>
    <cfRule type="beginsWith" dxfId="3334" priority="3672" operator="beginsWith" text="EW2">
      <formula>LEFT(G14,LEN("EW2"))="EW2"</formula>
    </cfRule>
    <cfRule type="beginsWith" dxfId="3333" priority="3674" operator="beginsWith" text="M-AS">
      <formula>LEFT(G14,LEN("M-AS"))="M-AS"</formula>
    </cfRule>
    <cfRule type="beginsWith" dxfId="3332" priority="3676" operator="beginsWith" text="TLP">
      <formula>LEFT(G14,LEN("TLP"))="TLP"</formula>
    </cfRule>
    <cfRule type="beginsWith" dxfId="3331" priority="3678" operator="beginsWith" text="US">
      <formula>LEFT(G14,LEN("US"))="US"</formula>
    </cfRule>
    <cfRule type="beginsWith" dxfId="3330" priority="3680" operator="beginsWith" text="AS">
      <formula>LEFT(G14,LEN("AS"))="AS"</formula>
    </cfRule>
    <cfRule type="beginsWith" dxfId="3329" priority="3682" operator="beginsWith" text="M-iW">
      <formula>LEFT(G14,LEN("M-iW"))="M-iW"</formula>
    </cfRule>
    <cfRule type="beginsWith" dxfId="3328" priority="3684" operator="beginsWith" text="MB">
      <formula>LEFT(G14,LEN("MB"))="MB"</formula>
    </cfRule>
  </conditionalFormatting>
  <conditionalFormatting sqref="G14:M14 S14:NJ14">
    <cfRule type="expression" dxfId="3327" priority="3609">
      <formula>$F14="--"</formula>
    </cfRule>
    <cfRule type="expression" dxfId="3326" priority="3611">
      <formula>G$3=$PP14</formula>
    </cfRule>
    <cfRule type="expression" dxfId="3325" priority="3613">
      <formula>G$3=$PN14</formula>
    </cfRule>
    <cfRule type="expression" dxfId="3324" priority="3615">
      <formula>G$3=$PL14</formula>
    </cfRule>
    <cfRule type="expression" dxfId="3323" priority="3617">
      <formula>IF(G14=0,IF(OR(G$4=6,G$4=7,G$5=1),1,0),0)</formula>
    </cfRule>
    <cfRule type="expression" dxfId="3322" priority="3619">
      <formula>IF($C14&gt;0,IF(G$4=1,1,0),0)</formula>
    </cfRule>
    <cfRule type="expression" dxfId="3321" priority="3621">
      <formula>IF(OR(G14="T1..",G14="T2..",G14="T3..",G14="T4..",G14="T5..",G14="T6..",G14="T7..",G14="T8..",G14="T9.."),1,0)</formula>
    </cfRule>
    <cfRule type="expression" dxfId="3320" priority="3623">
      <formula>IF(OR(G14="T1",G14="T2",G14="T3",G14="T4",G14="T5",G14="T6",G14="T7",G14="T8",G14="T9"),1,0)</formula>
    </cfRule>
    <cfRule type="endsWith" dxfId="3319" priority="3625" operator="endsWith" text="_x">
      <formula>RIGHT(G14,LEN("_x"))="_x"</formula>
    </cfRule>
    <cfRule type="beginsWith" dxfId="3318" priority="3627" operator="beginsWith" text="AS-TL">
      <formula>LEFT(G14,LEN("AS-TL"))="AS-TL"</formula>
    </cfRule>
    <cfRule type="beginsWith" dxfId="3317" priority="3629" operator="beginsWith" text="tbs">
      <formula>LEFT(G14,LEN("tbs"))="tbs"</formula>
    </cfRule>
    <cfRule type="beginsWith" dxfId="3316" priority="3631" operator="beginsWith" text="TL-AS">
      <formula>LEFT(G14,LEN("TL-AS"))="TL-AS"</formula>
    </cfRule>
    <cfRule type="beginsWith" dxfId="3315" priority="3633" operator="beginsWith" text="L">
      <formula>LEFT(G14,LEN("L"))="L"</formula>
    </cfRule>
    <cfRule type="beginsWith" dxfId="3314" priority="3635" operator="beginsWith" text="DC">
      <formula>LEFT(G14,LEN("DC"))="DC"</formula>
    </cfRule>
    <cfRule type="beginsWith" dxfId="3313" priority="3637" operator="beginsWith" text="FP">
      <formula>LEFT(G14,LEN("FP"))="FP"</formula>
    </cfRule>
    <cfRule type="beginsWith" dxfId="3312" priority="3639" operator="beginsWith" text="M-TT">
      <formula>LEFT(G14,LEN("M-TT"))="M-TT"</formula>
    </cfRule>
    <cfRule type="beginsWith" dxfId="3311" priority="3641" operator="beginsWith" text="Ü">
      <formula>LEFT(G14,LEN("Ü"))="Ü"</formula>
    </cfRule>
    <cfRule type="beginsWith" dxfId="3310" priority="3643" operator="beginsWith" text="iW">
      <formula>LEFT(G14,LEN("iW"))="iW"</formula>
    </cfRule>
    <cfRule type="beginsWith" dxfId="3309" priority="3645" operator="beginsWith" text="D">
      <formula>LEFT(G14,LEN("D"))="D"</formula>
    </cfRule>
    <cfRule type="beginsWith" dxfId="3308" priority="3647" operator="beginsWith" text="Kde">
      <formula>LEFT(G14,LEN("Kde"))="Kde"</formula>
    </cfRule>
    <cfRule type="beginsWith" dxfId="3307" priority="3649" operator="beginsWith" text="P">
      <formula>LEFT(G14,LEN("P"))="P"</formula>
    </cfRule>
    <cfRule type="beginsWith" dxfId="3306" priority="3651" operator="beginsWith" text="Is-M">
      <formula>LEFT(G14,LEN("Is-M"))="Is-M"</formula>
    </cfRule>
    <cfRule type="beginsWith" dxfId="3305" priority="3653" operator="beginsWith" text="Is-Id">
      <formula>LEFT(G14,LEN("Is-Id"))="Is-Id"</formula>
    </cfRule>
    <cfRule type="beginsWith" dxfId="3304" priority="3655" operator="beginsWith" text="M-Is">
      <formula>LEFT(G14,LEN("M-Is"))="M-Is"</formula>
    </cfRule>
    <cfRule type="beginsWith" dxfId="3303" priority="3657" operator="beginsWith" text="M-Fe">
      <formula>LEFT(G14,LEN("M-Fe"))="M-Fe"</formula>
    </cfRule>
    <cfRule type="beginsWith" dxfId="3302" priority="3659" operator="beginsWith" text="M-TP">
      <formula>LEFT(G14,LEN("M-TP"))="M-TP"</formula>
    </cfRule>
    <cfRule type="beginsWith" dxfId="3301" priority="3661" operator="beginsWith" text="ZW6">
      <formula>LEFT(G14,LEN("ZW6"))="ZW6"</formula>
    </cfRule>
    <cfRule type="beginsWith" dxfId="3300" priority="3663" operator="beginsWith" text="ZW4">
      <formula>LEFT(G14,LEN("ZW4"))="ZW4"</formula>
    </cfRule>
    <cfRule type="beginsWith" dxfId="3299" priority="3665" operator="beginsWith" text="ZW2">
      <formula>LEFT(G14,LEN("ZW2"))="ZW2"</formula>
    </cfRule>
    <cfRule type="beginsWith" dxfId="3298" priority="3667" operator="beginsWith" text="ZW0">
      <formula>LEFT(G14,LEN("ZW0"))="ZW0"</formula>
    </cfRule>
    <cfRule type="beginsWith" dxfId="3297" priority="3669" operator="beginsWith" text="EW5">
      <formula>LEFT(G14,LEN("EW5"))="EW5"</formula>
    </cfRule>
    <cfRule type="beginsWith" dxfId="3296" priority="3671" operator="beginsWith" text="EW3">
      <formula>LEFT(G14,LEN("EW3"))="EW3"</formula>
    </cfRule>
    <cfRule type="beginsWith" dxfId="3295" priority="3673" operator="beginsWith" text="EW1">
      <formula>LEFT(G14,LEN("EW1"))="EW1"</formula>
    </cfRule>
    <cfRule type="beginsWith" dxfId="3294" priority="3675" operator="beginsWith" text="TL-AS">
      <formula>LEFT(G14,LEN("TL-AS"))="TL-AS"</formula>
    </cfRule>
    <cfRule type="beginsWith" dxfId="3293" priority="3677" operator="beginsWith" text="TL">
      <formula>LEFT(G14,LEN("TL"))="TL"</formula>
    </cfRule>
    <cfRule type="beginsWith" dxfId="3292" priority="3679" operator="beginsWith" text="AF">
      <formula>LEFT(G14,LEN("AF"))="AF"</formula>
    </cfRule>
    <cfRule type="beginsWith" dxfId="3291" priority="3681" operator="beginsWith" text="M-DG">
      <formula>LEFT(G14,LEN("M-DG"))="M-DG"</formula>
    </cfRule>
    <cfRule type="beginsWith" dxfId="3290" priority="3683" operator="beginsWith" text="M-Kde">
      <formula>LEFT(G14,LEN("M-Kde"))="M-Kde"</formula>
    </cfRule>
  </conditionalFormatting>
  <conditionalFormatting sqref="G14:M14 S14:NJ14">
    <cfRule type="beginsWith" dxfId="3289" priority="3607" operator="beginsWith" text="M">
      <formula>LEFT(G14,LEN("M"))="M"</formula>
    </cfRule>
  </conditionalFormatting>
  <conditionalFormatting sqref="G14:M14 S14:NJ14">
    <cfRule type="beginsWith" dxfId="3288" priority="3606" operator="beginsWith" text="Is-MB">
      <formula>LEFT(G14,LEN("Is-MB"))="Is-MB"</formula>
    </cfRule>
  </conditionalFormatting>
  <conditionalFormatting sqref="G14:M14 S14:NJ14">
    <cfRule type="beginsWith" dxfId="3287" priority="3605" operator="beginsWith" text="Y">
      <formula>LEFT(G14,LEN("Y"))="Y"</formula>
    </cfRule>
  </conditionalFormatting>
  <conditionalFormatting sqref="G14:M14 S14:NJ14">
    <cfRule type="beginsWith" dxfId="3286" priority="3604" operator="beginsWith" text="M-FP">
      <formula>LEFT(G14,LEN("M-FP"))="M-FP"</formula>
    </cfRule>
  </conditionalFormatting>
  <conditionalFormatting sqref="G14:M14 S14:NJ14">
    <cfRule type="beginsWith" dxfId="3285" priority="3603" operator="beginsWith" text="ME">
      <formula>LEFT(G14,LEN("ME"))="ME"</formula>
    </cfRule>
  </conditionalFormatting>
  <conditionalFormatting sqref="G14:M14 S14:NJ14">
    <cfRule type="beginsWith" dxfId="3284" priority="3602" operator="beginsWith" text="ME-TL">
      <formula>LEFT(G14,LEN("ME-TL"))="ME-TL"</formula>
    </cfRule>
  </conditionalFormatting>
  <conditionalFormatting sqref="G14:M14 S14:NJ14">
    <cfRule type="beginsWith" dxfId="3283" priority="3601" operator="beginsWith" text="M-W">
      <formula>LEFT(G14,LEN("M-W"))="M-W"</formula>
    </cfRule>
  </conditionalFormatting>
  <conditionalFormatting sqref="A14:E14">
    <cfRule type="expression" dxfId="3282" priority="3685">
      <formula>IF(AND($A14=$A15,#REF!=#REF!,$B14=$B15),0,1)</formula>
    </cfRule>
  </conditionalFormatting>
  <conditionalFormatting sqref="A14:E14">
    <cfRule type="expression" dxfId="3281" priority="3686">
      <formula>$F14="--"</formula>
    </cfRule>
  </conditionalFormatting>
  <conditionalFormatting sqref="A14:E14">
    <cfRule type="expression" dxfId="3280" priority="3687">
      <formula>$F14="-"</formula>
    </cfRule>
  </conditionalFormatting>
  <conditionalFormatting sqref="G18:M18 S18:NJ18">
    <cfRule type="expression" dxfId="3279" priority="3521">
      <formula>$F18="-"</formula>
    </cfRule>
    <cfRule type="expression" dxfId="3278" priority="3523">
      <formula>G$3=$PQ18</formula>
    </cfRule>
    <cfRule type="expression" dxfId="3277" priority="3525">
      <formula>G$3=$PO18</formula>
    </cfRule>
    <cfRule type="expression" dxfId="3276" priority="3527">
      <formula>G$3=$PM18</formula>
    </cfRule>
    <cfRule type="expression" dxfId="3275" priority="3529">
      <formula>IF(AND(RIGHT(G18,1)=".",LEFT(G18,2)&lt;&gt;"T1",LEFT(G18,2)&lt;&gt;"T2",LEFT(G18,2)&lt;&gt;"T3",LEFT(G18,2)&lt;&gt;"T4",LEFT(G18,2)&lt;&gt;"T5",LEFT(G18,2)&lt;&gt;"T6",LEFT(G18,2)&lt;&gt;"T7",LEFT(G18,2)&lt;&gt;"T8",LEFT(G18,2)&lt;&gt;"T9"),1,0)</formula>
    </cfRule>
    <cfRule type="expression" dxfId="3274" priority="3531">
      <formula>IF($C18&gt;0,IF(G$4=7,1,0),0)</formula>
    </cfRule>
    <cfRule type="expression" dxfId="3273" priority="3533">
      <formula>$C18&gt;0</formula>
    </cfRule>
    <cfRule type="expression" dxfId="3272" priority="3535">
      <formula>IF(OR(G18="T1.",G18="T2.",G18="T3.",G18="T4.",G18="T5.",G18="T6.",G18="T7.",G18="T8.",G18="T9."),1,0)</formula>
    </cfRule>
    <cfRule type="endsWith" dxfId="3271" priority="3537" operator="endsWith" text="_A">
      <formula>RIGHT(G18,LEN("_A"))="_A"</formula>
    </cfRule>
    <cfRule type="endsWith" dxfId="3270" priority="3539" operator="endsWith" text="_e">
      <formula>RIGHT(G18,LEN("_e"))="_e"</formula>
    </cfRule>
    <cfRule type="beginsWith" dxfId="3269" priority="3541" operator="beginsWith" text="ME-TL-AS">
      <formula>LEFT(G18,LEN("ME-TL-AS"))="ME-TL-AS"</formula>
    </cfRule>
    <cfRule type="beginsWith" dxfId="3268" priority="3543" operator="beginsWith" text="T-AS">
      <formula>LEFT(G18,LEN("T-AS"))="T-AS"</formula>
    </cfRule>
    <cfRule type="beginsWith" dxfId="3267" priority="3545" operator="beginsWith" text="M-KL">
      <formula>LEFT(G18,LEN("M-KL"))="M-KL"</formula>
    </cfRule>
    <cfRule type="beginsWith" dxfId="3266" priority="3547" operator="beginsWith" text="Ss">
      <formula>LEFT(G18,LEN("Ss"))="Ss"</formula>
    </cfRule>
    <cfRule type="beginsWith" dxfId="3265" priority="3549" operator="beginsWith" text="AC">
      <formula>LEFT(G18,LEN("AC"))="AC"</formula>
    </cfRule>
    <cfRule type="beginsWith" dxfId="3264" priority="3551" operator="beginsWith" text="TT">
      <formula>LEFT(G18,LEN("TT"))="TT"</formula>
    </cfRule>
    <cfRule type="beginsWith" dxfId="3263" priority="3553" operator="beginsWith" text="S">
      <formula>LEFT(G18,LEN("S"))="S"</formula>
    </cfRule>
    <cfRule type="beginsWith" dxfId="3262" priority="3555" operator="beginsWith" text="PK">
      <formula>LEFT(G18,LEN("PK"))="PK"</formula>
    </cfRule>
    <cfRule type="beginsWith" dxfId="3261" priority="3557" operator="beginsWith" text="W">
      <formula>LEFT(G18,LEN("W"))="W"</formula>
    </cfRule>
    <cfRule type="beginsWith" dxfId="3260" priority="3559" operator="beginsWith" text="Id">
      <formula>LEFT(G18,LEN("Id"))="Id"</formula>
    </cfRule>
    <cfRule type="beginsWith" dxfId="3259" priority="3561" operator="beginsWith" text="K">
      <formula>LEFT(G18,LEN("K"))="K"</formula>
    </cfRule>
    <cfRule type="beginsWith" dxfId="3258" priority="3563" operator="beginsWith" text="Is-ME">
      <formula>LEFT(G18,LEN("Is-ME"))="Is-ME"</formula>
    </cfRule>
    <cfRule type="beginsWith" dxfId="3257" priority="3565" operator="beginsWith" text="Is-Fe">
      <formula>LEFT(G18,LEN("Is-Fe"))="Is-Fe"</formula>
    </cfRule>
    <cfRule type="beginsWith" dxfId="3256" priority="3567" operator="beginsWith" text="Is">
      <formula>LEFT(G18,LEN("Is"))="Is"</formula>
    </cfRule>
    <cfRule type="beginsWith" dxfId="3255" priority="3569" operator="beginsWith" text="T">
      <formula>LEFT(G18,LEN("T"))="T"</formula>
    </cfRule>
    <cfRule type="beginsWith" dxfId="3254" priority="3571" operator="beginsWith" text="Mg">
      <formula>LEFT(G18,LEN("Mg"))="Mg"</formula>
    </cfRule>
    <cfRule type="beginsWith" dxfId="3253" priority="3573" operator="beginsWith" text="VM">
      <formula>LEFT(G18,LEN("VM"))="VM"</formula>
    </cfRule>
    <cfRule type="beginsWith" dxfId="3252" priority="3575" operator="beginsWith" text="ZW5">
      <formula>LEFT(G18,LEN("ZW5"))="ZW5"</formula>
    </cfRule>
    <cfRule type="beginsWith" dxfId="3251" priority="3577" operator="beginsWith" text="ZW3">
      <formula>LEFT(G18,LEN("ZW3"))="ZW3"</formula>
    </cfRule>
    <cfRule type="beginsWith" dxfId="3250" priority="3579" operator="beginsWith" text="ZW1">
      <formula>LEFT(G18,LEN("ZW1"))="ZW1"</formula>
    </cfRule>
    <cfRule type="beginsWith" dxfId="3249" priority="3581" operator="beginsWith" text="EW6">
      <formula>LEFT(G18,LEN("EW6"))="EW6"</formula>
    </cfRule>
    <cfRule type="beginsWith" dxfId="3248" priority="3583" operator="beginsWith" text="EW4">
      <formula>LEFT(G18,LEN("EW4"))="EW4"</formula>
    </cfRule>
    <cfRule type="beginsWith" dxfId="3247" priority="3585" operator="beginsWith" text="EW2">
      <formula>LEFT(G18,LEN("EW2"))="EW2"</formula>
    </cfRule>
    <cfRule type="beginsWith" dxfId="3246" priority="3587" operator="beginsWith" text="M-AS">
      <formula>LEFT(G18,LEN("M-AS"))="M-AS"</formula>
    </cfRule>
    <cfRule type="beginsWith" dxfId="3245" priority="3589" operator="beginsWith" text="TLP">
      <formula>LEFT(G18,LEN("TLP"))="TLP"</formula>
    </cfRule>
    <cfRule type="beginsWith" dxfId="3244" priority="3591" operator="beginsWith" text="US">
      <formula>LEFT(G18,LEN("US"))="US"</formula>
    </cfRule>
    <cfRule type="beginsWith" dxfId="3243" priority="3593" operator="beginsWith" text="AS">
      <formula>LEFT(G18,LEN("AS"))="AS"</formula>
    </cfRule>
    <cfRule type="beginsWith" dxfId="3242" priority="3595" operator="beginsWith" text="M-iW">
      <formula>LEFT(G18,LEN("M-iW"))="M-iW"</formula>
    </cfRule>
    <cfRule type="beginsWith" dxfId="3241" priority="3597" operator="beginsWith" text="MB">
      <formula>LEFT(G18,LEN("MB"))="MB"</formula>
    </cfRule>
  </conditionalFormatting>
  <conditionalFormatting sqref="G18:M18 S18:NJ18">
    <cfRule type="expression" dxfId="3240" priority="3522">
      <formula>$F18="--"</formula>
    </cfRule>
    <cfRule type="expression" dxfId="3239" priority="3524">
      <formula>G$3=$PP18</formula>
    </cfRule>
    <cfRule type="expression" dxfId="3238" priority="3526">
      <formula>G$3=$PN18</formula>
    </cfRule>
    <cfRule type="expression" dxfId="3237" priority="3528">
      <formula>G$3=$PL18</formula>
    </cfRule>
    <cfRule type="expression" dxfId="3236" priority="3530">
      <formula>IF(G18=0,IF(OR(G$4=6,G$4=7,G$5=1),1,0),0)</formula>
    </cfRule>
    <cfRule type="expression" dxfId="3235" priority="3532">
      <formula>IF($C18&gt;0,IF(G$4=1,1,0),0)</formula>
    </cfRule>
    <cfRule type="expression" dxfId="3234" priority="3534">
      <formula>IF(OR(G18="T1..",G18="T2..",G18="T3..",G18="T4..",G18="T5..",G18="T6..",G18="T7..",G18="T8..",G18="T9.."),1,0)</formula>
    </cfRule>
    <cfRule type="expression" dxfId="3233" priority="3536">
      <formula>IF(OR(G18="T1",G18="T2",G18="T3",G18="T4",G18="T5",G18="T6",G18="T7",G18="T8",G18="T9"),1,0)</formula>
    </cfRule>
    <cfRule type="endsWith" dxfId="3232" priority="3538" operator="endsWith" text="_x">
      <formula>RIGHT(G18,LEN("_x"))="_x"</formula>
    </cfRule>
    <cfRule type="beginsWith" dxfId="3231" priority="3540" operator="beginsWith" text="AS-TL">
      <formula>LEFT(G18,LEN("AS-TL"))="AS-TL"</formula>
    </cfRule>
    <cfRule type="beginsWith" dxfId="3230" priority="3542" operator="beginsWith" text="tbs">
      <formula>LEFT(G18,LEN("tbs"))="tbs"</formula>
    </cfRule>
    <cfRule type="beginsWith" dxfId="3229" priority="3544" operator="beginsWith" text="TL-AS">
      <formula>LEFT(G18,LEN("TL-AS"))="TL-AS"</formula>
    </cfRule>
    <cfRule type="beginsWith" dxfId="3228" priority="3546" operator="beginsWith" text="L">
      <formula>LEFT(G18,LEN("L"))="L"</formula>
    </cfRule>
    <cfRule type="beginsWith" dxfId="3227" priority="3548" operator="beginsWith" text="DC">
      <formula>LEFT(G18,LEN("DC"))="DC"</formula>
    </cfRule>
    <cfRule type="beginsWith" dxfId="3226" priority="3550" operator="beginsWith" text="FP">
      <formula>LEFT(G18,LEN("FP"))="FP"</formula>
    </cfRule>
    <cfRule type="beginsWith" dxfId="3225" priority="3552" operator="beginsWith" text="M-TT">
      <formula>LEFT(G18,LEN("M-TT"))="M-TT"</formula>
    </cfRule>
    <cfRule type="beginsWith" dxfId="3224" priority="3554" operator="beginsWith" text="Ü">
      <formula>LEFT(G18,LEN("Ü"))="Ü"</formula>
    </cfRule>
    <cfRule type="beginsWith" dxfId="3223" priority="3556" operator="beginsWith" text="iW">
      <formula>LEFT(G18,LEN("iW"))="iW"</formula>
    </cfRule>
    <cfRule type="beginsWith" dxfId="3222" priority="3558" operator="beginsWith" text="D">
      <formula>LEFT(G18,LEN("D"))="D"</formula>
    </cfRule>
    <cfRule type="beginsWith" dxfId="3221" priority="3560" operator="beginsWith" text="Kde">
      <formula>LEFT(G18,LEN("Kde"))="Kde"</formula>
    </cfRule>
    <cfRule type="beginsWith" dxfId="3220" priority="3562" operator="beginsWith" text="P">
      <formula>LEFT(G18,LEN("P"))="P"</formula>
    </cfRule>
    <cfRule type="beginsWith" dxfId="3219" priority="3564" operator="beginsWith" text="Is-M">
      <formula>LEFT(G18,LEN("Is-M"))="Is-M"</formula>
    </cfRule>
    <cfRule type="beginsWith" dxfId="3218" priority="3566" operator="beginsWith" text="Is-Id">
      <formula>LEFT(G18,LEN("Is-Id"))="Is-Id"</formula>
    </cfRule>
    <cfRule type="beginsWith" dxfId="3217" priority="3568" operator="beginsWith" text="M-Is">
      <formula>LEFT(G18,LEN("M-Is"))="M-Is"</formula>
    </cfRule>
    <cfRule type="beginsWith" dxfId="3216" priority="3570" operator="beginsWith" text="M-Fe">
      <formula>LEFT(G18,LEN("M-Fe"))="M-Fe"</formula>
    </cfRule>
    <cfRule type="beginsWith" dxfId="3215" priority="3572" operator="beginsWith" text="M-TP">
      <formula>LEFT(G18,LEN("M-TP"))="M-TP"</formula>
    </cfRule>
    <cfRule type="beginsWith" dxfId="3214" priority="3574" operator="beginsWith" text="ZW6">
      <formula>LEFT(G18,LEN("ZW6"))="ZW6"</formula>
    </cfRule>
    <cfRule type="beginsWith" dxfId="3213" priority="3576" operator="beginsWith" text="ZW4">
      <formula>LEFT(G18,LEN("ZW4"))="ZW4"</formula>
    </cfRule>
    <cfRule type="beginsWith" dxfId="3212" priority="3578" operator="beginsWith" text="ZW2">
      <formula>LEFT(G18,LEN("ZW2"))="ZW2"</formula>
    </cfRule>
    <cfRule type="beginsWith" dxfId="3211" priority="3580" operator="beginsWith" text="ZW0">
      <formula>LEFT(G18,LEN("ZW0"))="ZW0"</formula>
    </cfRule>
    <cfRule type="beginsWith" dxfId="3210" priority="3582" operator="beginsWith" text="EW5">
      <formula>LEFT(G18,LEN("EW5"))="EW5"</formula>
    </cfRule>
    <cfRule type="beginsWith" dxfId="3209" priority="3584" operator="beginsWith" text="EW3">
      <formula>LEFT(G18,LEN("EW3"))="EW3"</formula>
    </cfRule>
    <cfRule type="beginsWith" dxfId="3208" priority="3586" operator="beginsWith" text="EW1">
      <formula>LEFT(G18,LEN("EW1"))="EW1"</formula>
    </cfRule>
    <cfRule type="beginsWith" dxfId="3207" priority="3588" operator="beginsWith" text="TL-AS">
      <formula>LEFT(G18,LEN("TL-AS"))="TL-AS"</formula>
    </cfRule>
    <cfRule type="beginsWith" dxfId="3206" priority="3590" operator="beginsWith" text="TL">
      <formula>LEFT(G18,LEN("TL"))="TL"</formula>
    </cfRule>
    <cfRule type="beginsWith" dxfId="3205" priority="3592" operator="beginsWith" text="AF">
      <formula>LEFT(G18,LEN("AF"))="AF"</formula>
    </cfRule>
    <cfRule type="beginsWith" dxfId="3204" priority="3594" operator="beginsWith" text="M-DG">
      <formula>LEFT(G18,LEN("M-DG"))="M-DG"</formula>
    </cfRule>
    <cfRule type="beginsWith" dxfId="3203" priority="3596" operator="beginsWith" text="M-Kde">
      <formula>LEFT(G18,LEN("M-Kde"))="M-Kde"</formula>
    </cfRule>
  </conditionalFormatting>
  <conditionalFormatting sqref="G18:M18 S18:NJ18">
    <cfRule type="beginsWith" dxfId="3202" priority="3520" operator="beginsWith" text="M">
      <formula>LEFT(G18,LEN("M"))="M"</formula>
    </cfRule>
  </conditionalFormatting>
  <conditionalFormatting sqref="G18:M18 S18:NJ18">
    <cfRule type="beginsWith" dxfId="3201" priority="3519" operator="beginsWith" text="Is-MB">
      <formula>LEFT(G18,LEN("Is-MB"))="Is-MB"</formula>
    </cfRule>
  </conditionalFormatting>
  <conditionalFormatting sqref="G18:M18 S18:NJ18">
    <cfRule type="beginsWith" dxfId="3200" priority="3518" operator="beginsWith" text="Y">
      <formula>LEFT(G18,LEN("Y"))="Y"</formula>
    </cfRule>
  </conditionalFormatting>
  <conditionalFormatting sqref="G18:M18 S18:NJ18">
    <cfRule type="beginsWith" dxfId="3199" priority="3517" operator="beginsWith" text="M-FP">
      <formula>LEFT(G18,LEN("M-FP"))="M-FP"</formula>
    </cfRule>
  </conditionalFormatting>
  <conditionalFormatting sqref="G18:M18 S18:NJ18">
    <cfRule type="beginsWith" dxfId="3198" priority="3516" operator="beginsWith" text="ME">
      <formula>LEFT(G18,LEN("ME"))="ME"</formula>
    </cfRule>
  </conditionalFormatting>
  <conditionalFormatting sqref="G18:M18 S18:NJ18">
    <cfRule type="beginsWith" dxfId="3197" priority="3515" operator="beginsWith" text="ME-TL">
      <formula>LEFT(G18,LEN("ME-TL"))="ME-TL"</formula>
    </cfRule>
  </conditionalFormatting>
  <conditionalFormatting sqref="G18:M18 S18:NJ18">
    <cfRule type="beginsWith" dxfId="3196" priority="3514" operator="beginsWith" text="M-W">
      <formula>LEFT(G18,LEN("M-W"))="M-W"</formula>
    </cfRule>
  </conditionalFormatting>
  <conditionalFormatting sqref="A18:E18">
    <cfRule type="expression" dxfId="3195" priority="3598">
      <formula>IF(AND($A18=$A19,#REF!=#REF!,$B18=$B19),0,1)</formula>
    </cfRule>
  </conditionalFormatting>
  <conditionalFormatting sqref="A18:E18">
    <cfRule type="expression" dxfId="3194" priority="3599">
      <formula>$F18="--"</formula>
    </cfRule>
  </conditionalFormatting>
  <conditionalFormatting sqref="A18:E18">
    <cfRule type="expression" dxfId="3193" priority="3600">
      <formula>$F18="-"</formula>
    </cfRule>
  </conditionalFormatting>
  <conditionalFormatting sqref="G22:H22 L22:M22 S22:NJ22">
    <cfRule type="expression" dxfId="3192" priority="3434">
      <formula>$F22="-"</formula>
    </cfRule>
    <cfRule type="expression" dxfId="3191" priority="3436">
      <formula>G$3=$PQ22</formula>
    </cfRule>
    <cfRule type="expression" dxfId="3190" priority="3438">
      <formula>G$3=$PO22</formula>
    </cfRule>
    <cfRule type="expression" dxfId="3189" priority="3440">
      <formula>G$3=$PM22</formula>
    </cfRule>
    <cfRule type="expression" dxfId="3188" priority="3442">
      <formula>IF(AND(RIGHT(G22,1)=".",LEFT(G22,2)&lt;&gt;"T1",LEFT(G22,2)&lt;&gt;"T2",LEFT(G22,2)&lt;&gt;"T3",LEFT(G22,2)&lt;&gt;"T4",LEFT(G22,2)&lt;&gt;"T5",LEFT(G22,2)&lt;&gt;"T6",LEFT(G22,2)&lt;&gt;"T7",LEFT(G22,2)&lt;&gt;"T8",LEFT(G22,2)&lt;&gt;"T9"),1,0)</formula>
    </cfRule>
    <cfRule type="expression" dxfId="3187" priority="3444">
      <formula>IF($C22&gt;0,IF(G$4=7,1,0),0)</formula>
    </cfRule>
    <cfRule type="expression" dxfId="3186" priority="3446">
      <formula>$C22&gt;0</formula>
    </cfRule>
    <cfRule type="expression" dxfId="3185" priority="3448">
      <formula>IF(OR(G22="T1.",G22="T2.",G22="T3.",G22="T4.",G22="T5.",G22="T6.",G22="T7.",G22="T8.",G22="T9."),1,0)</formula>
    </cfRule>
    <cfRule type="endsWith" dxfId="3184" priority="3450" operator="endsWith" text="_A">
      <formula>RIGHT(G22,LEN("_A"))="_A"</formula>
    </cfRule>
    <cfRule type="endsWith" dxfId="3183" priority="3452" operator="endsWith" text="_e">
      <formula>RIGHT(G22,LEN("_e"))="_e"</formula>
    </cfRule>
    <cfRule type="beginsWith" dxfId="3182" priority="3454" operator="beginsWith" text="ME-TL-AS">
      <formula>LEFT(G22,LEN("ME-TL-AS"))="ME-TL-AS"</formula>
    </cfRule>
    <cfRule type="beginsWith" dxfId="3181" priority="3456" operator="beginsWith" text="T-AS">
      <formula>LEFT(G22,LEN("T-AS"))="T-AS"</formula>
    </cfRule>
    <cfRule type="beginsWith" dxfId="3180" priority="3458" operator="beginsWith" text="M-KL">
      <formula>LEFT(G22,LEN("M-KL"))="M-KL"</formula>
    </cfRule>
    <cfRule type="beginsWith" dxfId="3179" priority="3460" operator="beginsWith" text="Ss">
      <formula>LEFT(G22,LEN("Ss"))="Ss"</formula>
    </cfRule>
    <cfRule type="beginsWith" dxfId="3178" priority="3462" operator="beginsWith" text="AC">
      <formula>LEFT(G22,LEN("AC"))="AC"</formula>
    </cfRule>
    <cfRule type="beginsWith" dxfId="3177" priority="3464" operator="beginsWith" text="TT">
      <formula>LEFT(G22,LEN("TT"))="TT"</formula>
    </cfRule>
    <cfRule type="beginsWith" dxfId="3176" priority="3466" operator="beginsWith" text="S">
      <formula>LEFT(G22,LEN("S"))="S"</formula>
    </cfRule>
    <cfRule type="beginsWith" dxfId="3175" priority="3468" operator="beginsWith" text="PK">
      <formula>LEFT(G22,LEN("PK"))="PK"</formula>
    </cfRule>
    <cfRule type="beginsWith" dxfId="3174" priority="3470" operator="beginsWith" text="W">
      <formula>LEFT(G22,LEN("W"))="W"</formula>
    </cfRule>
    <cfRule type="beginsWith" dxfId="3173" priority="3472" operator="beginsWith" text="Id">
      <formula>LEFT(G22,LEN("Id"))="Id"</formula>
    </cfRule>
    <cfRule type="beginsWith" dxfId="3172" priority="3474" operator="beginsWith" text="K">
      <formula>LEFT(G22,LEN("K"))="K"</formula>
    </cfRule>
    <cfRule type="beginsWith" dxfId="3171" priority="3476" operator="beginsWith" text="Is-ME">
      <formula>LEFT(G22,LEN("Is-ME"))="Is-ME"</formula>
    </cfRule>
    <cfRule type="beginsWith" dxfId="3170" priority="3478" operator="beginsWith" text="Is-Fe">
      <formula>LEFT(G22,LEN("Is-Fe"))="Is-Fe"</formula>
    </cfRule>
    <cfRule type="beginsWith" dxfId="3169" priority="3480" operator="beginsWith" text="Is">
      <formula>LEFT(G22,LEN("Is"))="Is"</formula>
    </cfRule>
    <cfRule type="beginsWith" dxfId="3168" priority="3482" operator="beginsWith" text="T">
      <formula>LEFT(G22,LEN("T"))="T"</formula>
    </cfRule>
    <cfRule type="beginsWith" dxfId="3167" priority="3484" operator="beginsWith" text="Mg">
      <formula>LEFT(G22,LEN("Mg"))="Mg"</formula>
    </cfRule>
    <cfRule type="beginsWith" dxfId="3166" priority="3486" operator="beginsWith" text="VM">
      <formula>LEFT(G22,LEN("VM"))="VM"</formula>
    </cfRule>
    <cfRule type="beginsWith" dxfId="3165" priority="3488" operator="beginsWith" text="ZW5">
      <formula>LEFT(G22,LEN("ZW5"))="ZW5"</formula>
    </cfRule>
    <cfRule type="beginsWith" dxfId="3164" priority="3490" operator="beginsWith" text="ZW3">
      <formula>LEFT(G22,LEN("ZW3"))="ZW3"</formula>
    </cfRule>
    <cfRule type="beginsWith" dxfId="3163" priority="3492" operator="beginsWith" text="ZW1">
      <formula>LEFT(G22,LEN("ZW1"))="ZW1"</formula>
    </cfRule>
    <cfRule type="beginsWith" dxfId="3162" priority="3494" operator="beginsWith" text="EW6">
      <formula>LEFT(G22,LEN("EW6"))="EW6"</formula>
    </cfRule>
    <cfRule type="beginsWith" dxfId="3161" priority="3496" operator="beginsWith" text="EW4">
      <formula>LEFT(G22,LEN("EW4"))="EW4"</formula>
    </cfRule>
    <cfRule type="beginsWith" dxfId="3160" priority="3498" operator="beginsWith" text="EW2">
      <formula>LEFT(G22,LEN("EW2"))="EW2"</formula>
    </cfRule>
    <cfRule type="beginsWith" dxfId="3159" priority="3500" operator="beginsWith" text="M-AS">
      <formula>LEFT(G22,LEN("M-AS"))="M-AS"</formula>
    </cfRule>
    <cfRule type="beginsWith" dxfId="3158" priority="3502" operator="beginsWith" text="TLP">
      <formula>LEFT(G22,LEN("TLP"))="TLP"</formula>
    </cfRule>
    <cfRule type="beginsWith" dxfId="3157" priority="3504" operator="beginsWith" text="US">
      <formula>LEFT(G22,LEN("US"))="US"</formula>
    </cfRule>
    <cfRule type="beginsWith" dxfId="3156" priority="3506" operator="beginsWith" text="AS">
      <formula>LEFT(G22,LEN("AS"))="AS"</formula>
    </cfRule>
    <cfRule type="beginsWith" dxfId="3155" priority="3508" operator="beginsWith" text="M-iW">
      <formula>LEFT(G22,LEN("M-iW"))="M-iW"</formula>
    </cfRule>
    <cfRule type="beginsWith" dxfId="3154" priority="3510" operator="beginsWith" text="MB">
      <formula>LEFT(G22,LEN("MB"))="MB"</formula>
    </cfRule>
  </conditionalFormatting>
  <conditionalFormatting sqref="G22:H22 L22:M22 S22:NJ22">
    <cfRule type="expression" dxfId="3153" priority="3435">
      <formula>$F22="--"</formula>
    </cfRule>
    <cfRule type="expression" dxfId="3152" priority="3437">
      <formula>G$3=$PP22</formula>
    </cfRule>
    <cfRule type="expression" dxfId="3151" priority="3439">
      <formula>G$3=$PN22</formula>
    </cfRule>
    <cfRule type="expression" dxfId="3150" priority="3441">
      <formula>G$3=$PL22</formula>
    </cfRule>
    <cfRule type="expression" dxfId="3149" priority="3443">
      <formula>IF(G22=0,IF(OR(G$4=6,G$4=7,G$5=1),1,0),0)</formula>
    </cfRule>
    <cfRule type="expression" dxfId="3148" priority="3445">
      <formula>IF($C22&gt;0,IF(G$4=1,1,0),0)</formula>
    </cfRule>
    <cfRule type="expression" dxfId="3147" priority="3447">
      <formula>IF(OR(G22="T1..",G22="T2..",G22="T3..",G22="T4..",G22="T5..",G22="T6..",G22="T7..",G22="T8..",G22="T9.."),1,0)</formula>
    </cfRule>
    <cfRule type="expression" dxfId="3146" priority="3449">
      <formula>IF(OR(G22="T1",G22="T2",G22="T3",G22="T4",G22="T5",G22="T6",G22="T7",G22="T8",G22="T9"),1,0)</formula>
    </cfRule>
    <cfRule type="endsWith" dxfId="3145" priority="3451" operator="endsWith" text="_x">
      <formula>RIGHT(G22,LEN("_x"))="_x"</formula>
    </cfRule>
    <cfRule type="beginsWith" dxfId="3144" priority="3453" operator="beginsWith" text="AS-TL">
      <formula>LEFT(G22,LEN("AS-TL"))="AS-TL"</formula>
    </cfRule>
    <cfRule type="beginsWith" dxfId="3143" priority="3455" operator="beginsWith" text="tbs">
      <formula>LEFT(G22,LEN("tbs"))="tbs"</formula>
    </cfRule>
    <cfRule type="beginsWith" dxfId="3142" priority="3457" operator="beginsWith" text="TL-AS">
      <formula>LEFT(G22,LEN("TL-AS"))="TL-AS"</formula>
    </cfRule>
    <cfRule type="beginsWith" dxfId="3141" priority="3459" operator="beginsWith" text="L">
      <formula>LEFT(G22,LEN("L"))="L"</formula>
    </cfRule>
    <cfRule type="beginsWith" dxfId="3140" priority="3461" operator="beginsWith" text="DC">
      <formula>LEFT(G22,LEN("DC"))="DC"</formula>
    </cfRule>
    <cfRule type="beginsWith" dxfId="3139" priority="3463" operator="beginsWith" text="FP">
      <formula>LEFT(G22,LEN("FP"))="FP"</formula>
    </cfRule>
    <cfRule type="beginsWith" dxfId="3138" priority="3465" operator="beginsWith" text="M-TT">
      <formula>LEFT(G22,LEN("M-TT"))="M-TT"</formula>
    </cfRule>
    <cfRule type="beginsWith" dxfId="3137" priority="3467" operator="beginsWith" text="Ü">
      <formula>LEFT(G22,LEN("Ü"))="Ü"</formula>
    </cfRule>
    <cfRule type="beginsWith" dxfId="3136" priority="3469" operator="beginsWith" text="iW">
      <formula>LEFT(G22,LEN("iW"))="iW"</formula>
    </cfRule>
    <cfRule type="beginsWith" dxfId="3135" priority="3471" operator="beginsWith" text="D">
      <formula>LEFT(G22,LEN("D"))="D"</formula>
    </cfRule>
    <cfRule type="beginsWith" dxfId="3134" priority="3473" operator="beginsWith" text="Kde">
      <formula>LEFT(G22,LEN("Kde"))="Kde"</formula>
    </cfRule>
    <cfRule type="beginsWith" dxfId="3133" priority="3475" operator="beginsWith" text="P">
      <formula>LEFT(G22,LEN("P"))="P"</formula>
    </cfRule>
    <cfRule type="beginsWith" dxfId="3132" priority="3477" operator="beginsWith" text="Is-M">
      <formula>LEFT(G22,LEN("Is-M"))="Is-M"</formula>
    </cfRule>
    <cfRule type="beginsWith" dxfId="3131" priority="3479" operator="beginsWith" text="Is-Id">
      <formula>LEFT(G22,LEN("Is-Id"))="Is-Id"</formula>
    </cfRule>
    <cfRule type="beginsWith" dxfId="3130" priority="3481" operator="beginsWith" text="M-Is">
      <formula>LEFT(G22,LEN("M-Is"))="M-Is"</formula>
    </cfRule>
    <cfRule type="beginsWith" dxfId="3129" priority="3483" operator="beginsWith" text="M-Fe">
      <formula>LEFT(G22,LEN("M-Fe"))="M-Fe"</formula>
    </cfRule>
    <cfRule type="beginsWith" dxfId="3128" priority="3485" operator="beginsWith" text="M-TP">
      <formula>LEFT(G22,LEN("M-TP"))="M-TP"</formula>
    </cfRule>
    <cfRule type="beginsWith" dxfId="3127" priority="3487" operator="beginsWith" text="ZW6">
      <formula>LEFT(G22,LEN("ZW6"))="ZW6"</formula>
    </cfRule>
    <cfRule type="beginsWith" dxfId="3126" priority="3489" operator="beginsWith" text="ZW4">
      <formula>LEFT(G22,LEN("ZW4"))="ZW4"</formula>
    </cfRule>
    <cfRule type="beginsWith" dxfId="3125" priority="3491" operator="beginsWith" text="ZW2">
      <formula>LEFT(G22,LEN("ZW2"))="ZW2"</formula>
    </cfRule>
    <cfRule type="beginsWith" dxfId="3124" priority="3493" operator="beginsWith" text="ZW0">
      <formula>LEFT(G22,LEN("ZW0"))="ZW0"</formula>
    </cfRule>
    <cfRule type="beginsWith" dxfId="3123" priority="3495" operator="beginsWith" text="EW5">
      <formula>LEFT(G22,LEN("EW5"))="EW5"</formula>
    </cfRule>
    <cfRule type="beginsWith" dxfId="3122" priority="3497" operator="beginsWith" text="EW3">
      <formula>LEFT(G22,LEN("EW3"))="EW3"</formula>
    </cfRule>
    <cfRule type="beginsWith" dxfId="3121" priority="3499" operator="beginsWith" text="EW1">
      <formula>LEFT(G22,LEN("EW1"))="EW1"</formula>
    </cfRule>
    <cfRule type="beginsWith" dxfId="3120" priority="3501" operator="beginsWith" text="TL-AS">
      <formula>LEFT(G22,LEN("TL-AS"))="TL-AS"</formula>
    </cfRule>
    <cfRule type="beginsWith" dxfId="3119" priority="3503" operator="beginsWith" text="TL">
      <formula>LEFT(G22,LEN("TL"))="TL"</formula>
    </cfRule>
    <cfRule type="beginsWith" dxfId="3118" priority="3505" operator="beginsWith" text="AF">
      <formula>LEFT(G22,LEN("AF"))="AF"</formula>
    </cfRule>
    <cfRule type="beginsWith" dxfId="3117" priority="3507" operator="beginsWith" text="M-DG">
      <formula>LEFT(G22,LEN("M-DG"))="M-DG"</formula>
    </cfRule>
    <cfRule type="beginsWith" dxfId="3116" priority="3509" operator="beginsWith" text="M-Kde">
      <formula>LEFT(G22,LEN("M-Kde"))="M-Kde"</formula>
    </cfRule>
  </conditionalFormatting>
  <conditionalFormatting sqref="G22:H22 L22:M22 S22:NJ22">
    <cfRule type="beginsWith" dxfId="3115" priority="3433" operator="beginsWith" text="M">
      <formula>LEFT(G22,LEN("M"))="M"</formula>
    </cfRule>
  </conditionalFormatting>
  <conditionalFormatting sqref="G22:H22 L22:M22 S22:NJ22">
    <cfRule type="beginsWith" dxfId="3114" priority="3432" operator="beginsWith" text="Is-MB">
      <formula>LEFT(G22,LEN("Is-MB"))="Is-MB"</formula>
    </cfRule>
  </conditionalFormatting>
  <conditionalFormatting sqref="G22:H22 L22:M22 S22:NJ22">
    <cfRule type="beginsWith" dxfId="3113" priority="3431" operator="beginsWith" text="Y">
      <formula>LEFT(G22,LEN("Y"))="Y"</formula>
    </cfRule>
  </conditionalFormatting>
  <conditionalFormatting sqref="G22:H22 L22:M22 S22:NJ22">
    <cfRule type="beginsWith" dxfId="3112" priority="3430" operator="beginsWith" text="M-FP">
      <formula>LEFT(G22,LEN("M-FP"))="M-FP"</formula>
    </cfRule>
  </conditionalFormatting>
  <conditionalFormatting sqref="G22:H22 L22:M22 S22:NJ22">
    <cfRule type="beginsWith" dxfId="3111" priority="3429" operator="beginsWith" text="ME">
      <formula>LEFT(G22,LEN("ME"))="ME"</formula>
    </cfRule>
  </conditionalFormatting>
  <conditionalFormatting sqref="G22:H22 L22:M22 S22:NJ22">
    <cfRule type="beginsWith" dxfId="3110" priority="3428" operator="beginsWith" text="ME-TL">
      <formula>LEFT(G22,LEN("ME-TL"))="ME-TL"</formula>
    </cfRule>
  </conditionalFormatting>
  <conditionalFormatting sqref="G22:H22 L22:M22 S22:NJ22">
    <cfRule type="beginsWith" dxfId="3109" priority="3427" operator="beginsWith" text="M-W">
      <formula>LEFT(G22,LEN("M-W"))="M-W"</formula>
    </cfRule>
  </conditionalFormatting>
  <conditionalFormatting sqref="A22:E22">
    <cfRule type="expression" dxfId="3108" priority="3511">
      <formula>IF(AND($A22=$A23,#REF!=#REF!,$B22=$B23),0,1)</formula>
    </cfRule>
  </conditionalFormatting>
  <conditionalFormatting sqref="A22:E22">
    <cfRule type="expression" dxfId="3107" priority="3512">
      <formula>$F22="--"</formula>
    </cfRule>
  </conditionalFormatting>
  <conditionalFormatting sqref="A22:E22">
    <cfRule type="expression" dxfId="3106" priority="3513">
      <formula>$F22="-"</formula>
    </cfRule>
  </conditionalFormatting>
  <conditionalFormatting sqref="G26:H26 L26:M26 S26:NJ26">
    <cfRule type="expression" dxfId="3105" priority="3347">
      <formula>$F26="-"</formula>
    </cfRule>
    <cfRule type="expression" dxfId="3104" priority="3349">
      <formula>G$3=$PQ26</formula>
    </cfRule>
    <cfRule type="expression" dxfId="3103" priority="3351">
      <formula>G$3=$PO26</formula>
    </cfRule>
    <cfRule type="expression" dxfId="3102" priority="3353">
      <formula>G$3=$PM26</formula>
    </cfRule>
    <cfRule type="expression" dxfId="3101" priority="3355">
      <formula>IF(AND(RIGHT(G26,1)=".",LEFT(G26,2)&lt;&gt;"T1",LEFT(G26,2)&lt;&gt;"T2",LEFT(G26,2)&lt;&gt;"T3",LEFT(G26,2)&lt;&gt;"T4",LEFT(G26,2)&lt;&gt;"T5",LEFT(G26,2)&lt;&gt;"T6",LEFT(G26,2)&lt;&gt;"T7",LEFT(G26,2)&lt;&gt;"T8",LEFT(G26,2)&lt;&gt;"T9"),1,0)</formula>
    </cfRule>
    <cfRule type="expression" dxfId="3100" priority="3357">
      <formula>IF($C26&gt;0,IF(G$4=7,1,0),0)</formula>
    </cfRule>
    <cfRule type="expression" dxfId="3099" priority="3359">
      <formula>$C26&gt;0</formula>
    </cfRule>
    <cfRule type="expression" dxfId="3098" priority="3361">
      <formula>IF(OR(G26="T1.",G26="T2.",G26="T3.",G26="T4.",G26="T5.",G26="T6.",G26="T7.",G26="T8.",G26="T9."),1,0)</formula>
    </cfRule>
    <cfRule type="endsWith" dxfId="3097" priority="3363" operator="endsWith" text="_A">
      <formula>RIGHT(G26,LEN("_A"))="_A"</formula>
    </cfRule>
    <cfRule type="endsWith" dxfId="3096" priority="3365" operator="endsWith" text="_e">
      <formula>RIGHT(G26,LEN("_e"))="_e"</formula>
    </cfRule>
    <cfRule type="beginsWith" dxfId="3095" priority="3367" operator="beginsWith" text="ME-TL-AS">
      <formula>LEFT(G26,LEN("ME-TL-AS"))="ME-TL-AS"</formula>
    </cfRule>
    <cfRule type="beginsWith" dxfId="3094" priority="3369" operator="beginsWith" text="T-AS">
      <formula>LEFT(G26,LEN("T-AS"))="T-AS"</formula>
    </cfRule>
    <cfRule type="beginsWith" dxfId="3093" priority="3371" operator="beginsWith" text="M-KL">
      <formula>LEFT(G26,LEN("M-KL"))="M-KL"</formula>
    </cfRule>
    <cfRule type="beginsWith" dxfId="3092" priority="3373" operator="beginsWith" text="Ss">
      <formula>LEFT(G26,LEN("Ss"))="Ss"</formula>
    </cfRule>
    <cfRule type="beginsWith" dxfId="3091" priority="3375" operator="beginsWith" text="AC">
      <formula>LEFT(G26,LEN("AC"))="AC"</formula>
    </cfRule>
    <cfRule type="beginsWith" dxfId="3090" priority="3377" operator="beginsWith" text="TT">
      <formula>LEFT(G26,LEN("TT"))="TT"</formula>
    </cfRule>
    <cfRule type="beginsWith" dxfId="3089" priority="3379" operator="beginsWith" text="S">
      <formula>LEFT(G26,LEN("S"))="S"</formula>
    </cfRule>
    <cfRule type="beginsWith" dxfId="3088" priority="3381" operator="beginsWith" text="PK">
      <formula>LEFT(G26,LEN("PK"))="PK"</formula>
    </cfRule>
    <cfRule type="beginsWith" dxfId="3087" priority="3383" operator="beginsWith" text="W">
      <formula>LEFT(G26,LEN("W"))="W"</formula>
    </cfRule>
    <cfRule type="beginsWith" dxfId="3086" priority="3385" operator="beginsWith" text="Id">
      <formula>LEFT(G26,LEN("Id"))="Id"</formula>
    </cfRule>
    <cfRule type="beginsWith" dxfId="3085" priority="3387" operator="beginsWith" text="K">
      <formula>LEFT(G26,LEN("K"))="K"</formula>
    </cfRule>
    <cfRule type="beginsWith" dxfId="3084" priority="3389" operator="beginsWith" text="Is-ME">
      <formula>LEFT(G26,LEN("Is-ME"))="Is-ME"</formula>
    </cfRule>
    <cfRule type="beginsWith" dxfId="3083" priority="3391" operator="beginsWith" text="Is-Fe">
      <formula>LEFT(G26,LEN("Is-Fe"))="Is-Fe"</formula>
    </cfRule>
    <cfRule type="beginsWith" dxfId="3082" priority="3393" operator="beginsWith" text="Is">
      <formula>LEFT(G26,LEN("Is"))="Is"</formula>
    </cfRule>
    <cfRule type="beginsWith" dxfId="3081" priority="3395" operator="beginsWith" text="T">
      <formula>LEFT(G26,LEN("T"))="T"</formula>
    </cfRule>
    <cfRule type="beginsWith" dxfId="3080" priority="3397" operator="beginsWith" text="Mg">
      <formula>LEFT(G26,LEN("Mg"))="Mg"</formula>
    </cfRule>
    <cfRule type="beginsWith" dxfId="3079" priority="3399" operator="beginsWith" text="VM">
      <formula>LEFT(G26,LEN("VM"))="VM"</formula>
    </cfRule>
    <cfRule type="beginsWith" dxfId="3078" priority="3401" operator="beginsWith" text="ZW5">
      <formula>LEFT(G26,LEN("ZW5"))="ZW5"</formula>
    </cfRule>
    <cfRule type="beginsWith" dxfId="3077" priority="3403" operator="beginsWith" text="ZW3">
      <formula>LEFT(G26,LEN("ZW3"))="ZW3"</formula>
    </cfRule>
    <cfRule type="beginsWith" dxfId="3076" priority="3405" operator="beginsWith" text="ZW1">
      <formula>LEFT(G26,LEN("ZW1"))="ZW1"</formula>
    </cfRule>
    <cfRule type="beginsWith" dxfId="3075" priority="3407" operator="beginsWith" text="EW6">
      <formula>LEFT(G26,LEN("EW6"))="EW6"</formula>
    </cfRule>
    <cfRule type="beginsWith" dxfId="3074" priority="3409" operator="beginsWith" text="EW4">
      <formula>LEFT(G26,LEN("EW4"))="EW4"</formula>
    </cfRule>
    <cfRule type="beginsWith" dxfId="3073" priority="3411" operator="beginsWith" text="EW2">
      <formula>LEFT(G26,LEN("EW2"))="EW2"</formula>
    </cfRule>
    <cfRule type="beginsWith" dxfId="3072" priority="3413" operator="beginsWith" text="M-AS">
      <formula>LEFT(G26,LEN("M-AS"))="M-AS"</formula>
    </cfRule>
    <cfRule type="beginsWith" dxfId="3071" priority="3415" operator="beginsWith" text="TLP">
      <formula>LEFT(G26,LEN("TLP"))="TLP"</formula>
    </cfRule>
    <cfRule type="beginsWith" dxfId="3070" priority="3417" operator="beginsWith" text="US">
      <formula>LEFT(G26,LEN("US"))="US"</formula>
    </cfRule>
    <cfRule type="beginsWith" dxfId="3069" priority="3419" operator="beginsWith" text="AS">
      <formula>LEFT(G26,LEN("AS"))="AS"</formula>
    </cfRule>
    <cfRule type="beginsWith" dxfId="3068" priority="3421" operator="beginsWith" text="M-iW">
      <formula>LEFT(G26,LEN("M-iW"))="M-iW"</formula>
    </cfRule>
    <cfRule type="beginsWith" dxfId="3067" priority="3423" operator="beginsWith" text="MB">
      <formula>LEFT(G26,LEN("MB"))="MB"</formula>
    </cfRule>
  </conditionalFormatting>
  <conditionalFormatting sqref="G26:H26 L26:M26 S26:NJ26">
    <cfRule type="expression" dxfId="3066" priority="3348">
      <formula>$F26="--"</formula>
    </cfRule>
    <cfRule type="expression" dxfId="3065" priority="3350">
      <formula>G$3=$PP26</formula>
    </cfRule>
    <cfRule type="expression" dxfId="3064" priority="3352">
      <formula>G$3=$PN26</formula>
    </cfRule>
    <cfRule type="expression" dxfId="3063" priority="3354">
      <formula>G$3=$PL26</formula>
    </cfRule>
    <cfRule type="expression" dxfId="3062" priority="3356">
      <formula>IF(G26=0,IF(OR(G$4=6,G$4=7,G$5=1),1,0),0)</formula>
    </cfRule>
    <cfRule type="expression" dxfId="3061" priority="3358">
      <formula>IF($C26&gt;0,IF(G$4=1,1,0),0)</formula>
    </cfRule>
    <cfRule type="expression" dxfId="3060" priority="3360">
      <formula>IF(OR(G26="T1..",G26="T2..",G26="T3..",G26="T4..",G26="T5..",G26="T6..",G26="T7..",G26="T8..",G26="T9.."),1,0)</formula>
    </cfRule>
    <cfRule type="expression" dxfId="3059" priority="3362">
      <formula>IF(OR(G26="T1",G26="T2",G26="T3",G26="T4",G26="T5",G26="T6",G26="T7",G26="T8",G26="T9"),1,0)</formula>
    </cfRule>
    <cfRule type="endsWith" dxfId="3058" priority="3364" operator="endsWith" text="_x">
      <formula>RIGHT(G26,LEN("_x"))="_x"</formula>
    </cfRule>
    <cfRule type="beginsWith" dxfId="3057" priority="3366" operator="beginsWith" text="AS-TL">
      <formula>LEFT(G26,LEN("AS-TL"))="AS-TL"</formula>
    </cfRule>
    <cfRule type="beginsWith" dxfId="3056" priority="3368" operator="beginsWith" text="tbs">
      <formula>LEFT(G26,LEN("tbs"))="tbs"</formula>
    </cfRule>
    <cfRule type="beginsWith" dxfId="3055" priority="3370" operator="beginsWith" text="TL-AS">
      <formula>LEFT(G26,LEN("TL-AS"))="TL-AS"</formula>
    </cfRule>
    <cfRule type="beginsWith" dxfId="3054" priority="3372" operator="beginsWith" text="L">
      <formula>LEFT(G26,LEN("L"))="L"</formula>
    </cfRule>
    <cfRule type="beginsWith" dxfId="3053" priority="3374" operator="beginsWith" text="DC">
      <formula>LEFT(G26,LEN("DC"))="DC"</formula>
    </cfRule>
    <cfRule type="beginsWith" dxfId="3052" priority="3376" operator="beginsWith" text="FP">
      <formula>LEFT(G26,LEN("FP"))="FP"</formula>
    </cfRule>
    <cfRule type="beginsWith" dxfId="3051" priority="3378" operator="beginsWith" text="M-TT">
      <formula>LEFT(G26,LEN("M-TT"))="M-TT"</formula>
    </cfRule>
    <cfRule type="beginsWith" dxfId="3050" priority="3380" operator="beginsWith" text="Ü">
      <formula>LEFT(G26,LEN("Ü"))="Ü"</formula>
    </cfRule>
    <cfRule type="beginsWith" dxfId="3049" priority="3382" operator="beginsWith" text="iW">
      <formula>LEFT(G26,LEN("iW"))="iW"</formula>
    </cfRule>
    <cfRule type="beginsWith" dxfId="3048" priority="3384" operator="beginsWith" text="D">
      <formula>LEFT(G26,LEN("D"))="D"</formula>
    </cfRule>
    <cfRule type="beginsWith" dxfId="3047" priority="3386" operator="beginsWith" text="Kde">
      <formula>LEFT(G26,LEN("Kde"))="Kde"</formula>
    </cfRule>
    <cfRule type="beginsWith" dxfId="3046" priority="3388" operator="beginsWith" text="P">
      <formula>LEFT(G26,LEN("P"))="P"</formula>
    </cfRule>
    <cfRule type="beginsWith" dxfId="3045" priority="3390" operator="beginsWith" text="Is-M">
      <formula>LEFT(G26,LEN("Is-M"))="Is-M"</formula>
    </cfRule>
    <cfRule type="beginsWith" dxfId="3044" priority="3392" operator="beginsWith" text="Is-Id">
      <formula>LEFT(G26,LEN("Is-Id"))="Is-Id"</formula>
    </cfRule>
    <cfRule type="beginsWith" dxfId="3043" priority="3394" operator="beginsWith" text="M-Is">
      <formula>LEFT(G26,LEN("M-Is"))="M-Is"</formula>
    </cfRule>
    <cfRule type="beginsWith" dxfId="3042" priority="3396" operator="beginsWith" text="M-Fe">
      <formula>LEFT(G26,LEN("M-Fe"))="M-Fe"</formula>
    </cfRule>
    <cfRule type="beginsWith" dxfId="3041" priority="3398" operator="beginsWith" text="M-TP">
      <formula>LEFT(G26,LEN("M-TP"))="M-TP"</formula>
    </cfRule>
    <cfRule type="beginsWith" dxfId="3040" priority="3400" operator="beginsWith" text="ZW6">
      <formula>LEFT(G26,LEN("ZW6"))="ZW6"</formula>
    </cfRule>
    <cfRule type="beginsWith" dxfId="3039" priority="3402" operator="beginsWith" text="ZW4">
      <formula>LEFT(G26,LEN("ZW4"))="ZW4"</formula>
    </cfRule>
    <cfRule type="beginsWith" dxfId="3038" priority="3404" operator="beginsWith" text="ZW2">
      <formula>LEFT(G26,LEN("ZW2"))="ZW2"</formula>
    </cfRule>
    <cfRule type="beginsWith" dxfId="3037" priority="3406" operator="beginsWith" text="ZW0">
      <formula>LEFT(G26,LEN("ZW0"))="ZW0"</formula>
    </cfRule>
    <cfRule type="beginsWith" dxfId="3036" priority="3408" operator="beginsWith" text="EW5">
      <formula>LEFT(G26,LEN("EW5"))="EW5"</formula>
    </cfRule>
    <cfRule type="beginsWith" dxfId="3035" priority="3410" operator="beginsWith" text="EW3">
      <formula>LEFT(G26,LEN("EW3"))="EW3"</formula>
    </cfRule>
    <cfRule type="beginsWith" dxfId="3034" priority="3412" operator="beginsWith" text="EW1">
      <formula>LEFT(G26,LEN("EW1"))="EW1"</formula>
    </cfRule>
    <cfRule type="beginsWith" dxfId="3033" priority="3414" operator="beginsWith" text="TL-AS">
      <formula>LEFT(G26,LEN("TL-AS"))="TL-AS"</formula>
    </cfRule>
    <cfRule type="beginsWith" dxfId="3032" priority="3416" operator="beginsWith" text="TL">
      <formula>LEFT(G26,LEN("TL"))="TL"</formula>
    </cfRule>
    <cfRule type="beginsWith" dxfId="3031" priority="3418" operator="beginsWith" text="AF">
      <formula>LEFT(G26,LEN("AF"))="AF"</formula>
    </cfRule>
    <cfRule type="beginsWith" dxfId="3030" priority="3420" operator="beginsWith" text="M-DG">
      <formula>LEFT(G26,LEN("M-DG"))="M-DG"</formula>
    </cfRule>
    <cfRule type="beginsWith" dxfId="3029" priority="3422" operator="beginsWith" text="M-Kde">
      <formula>LEFT(G26,LEN("M-Kde"))="M-Kde"</formula>
    </cfRule>
  </conditionalFormatting>
  <conditionalFormatting sqref="G26:H26 L26:M26 S26:NJ26">
    <cfRule type="beginsWith" dxfId="3028" priority="3346" operator="beginsWith" text="M">
      <formula>LEFT(G26,LEN("M"))="M"</formula>
    </cfRule>
  </conditionalFormatting>
  <conditionalFormatting sqref="G26:H26 L26:M26 S26:NJ26">
    <cfRule type="beginsWith" dxfId="3027" priority="3345" operator="beginsWith" text="Is-MB">
      <formula>LEFT(G26,LEN("Is-MB"))="Is-MB"</formula>
    </cfRule>
  </conditionalFormatting>
  <conditionalFormatting sqref="G26:H26 L26:M26 S26:NJ26">
    <cfRule type="beginsWith" dxfId="3026" priority="3344" operator="beginsWith" text="Y">
      <formula>LEFT(G26,LEN("Y"))="Y"</formula>
    </cfRule>
  </conditionalFormatting>
  <conditionalFormatting sqref="G26:H26 L26:M26 S26:NJ26">
    <cfRule type="beginsWith" dxfId="3025" priority="3343" operator="beginsWith" text="M-FP">
      <formula>LEFT(G26,LEN("M-FP"))="M-FP"</formula>
    </cfRule>
  </conditionalFormatting>
  <conditionalFormatting sqref="G26:H26 L26:M26 S26:NJ26">
    <cfRule type="beginsWith" dxfId="3024" priority="3342" operator="beginsWith" text="ME">
      <formula>LEFT(G26,LEN("ME"))="ME"</formula>
    </cfRule>
  </conditionalFormatting>
  <conditionalFormatting sqref="G26:H26 L26:M26 S26:NJ26">
    <cfRule type="beginsWith" dxfId="3023" priority="3341" operator="beginsWith" text="ME-TL">
      <formula>LEFT(G26,LEN("ME-TL"))="ME-TL"</formula>
    </cfRule>
  </conditionalFormatting>
  <conditionalFormatting sqref="G26:H26 L26:M26 S26:NJ26">
    <cfRule type="beginsWith" dxfId="3022" priority="3340" operator="beginsWith" text="M-W">
      <formula>LEFT(G26,LEN("M-W"))="M-W"</formula>
    </cfRule>
  </conditionalFormatting>
  <conditionalFormatting sqref="A26:E26">
    <cfRule type="expression" dxfId="3021" priority="3424">
      <formula>IF(AND($A26=$A27,#REF!=#REF!,$B26=$B27),0,1)</formula>
    </cfRule>
  </conditionalFormatting>
  <conditionalFormatting sqref="A26:E26">
    <cfRule type="expression" dxfId="3020" priority="3425">
      <formula>$F26="--"</formula>
    </cfRule>
  </conditionalFormatting>
  <conditionalFormatting sqref="A26:E26">
    <cfRule type="expression" dxfId="3019" priority="3426">
      <formula>$F26="-"</formula>
    </cfRule>
  </conditionalFormatting>
  <conditionalFormatting sqref="G30:M30 S30:NJ30">
    <cfRule type="expression" dxfId="3018" priority="3260">
      <formula>$F30="-"</formula>
    </cfRule>
    <cfRule type="expression" dxfId="3017" priority="3262">
      <formula>G$3=$PQ30</formula>
    </cfRule>
    <cfRule type="expression" dxfId="3016" priority="3264">
      <formula>G$3=$PO30</formula>
    </cfRule>
    <cfRule type="expression" dxfId="3015" priority="3266">
      <formula>G$3=$PM30</formula>
    </cfRule>
    <cfRule type="expression" dxfId="3014" priority="3268">
      <formula>IF(AND(RIGHT(G30,1)=".",LEFT(G30,2)&lt;&gt;"T1",LEFT(G30,2)&lt;&gt;"T2",LEFT(G30,2)&lt;&gt;"T3",LEFT(G30,2)&lt;&gt;"T4",LEFT(G30,2)&lt;&gt;"T5",LEFT(G30,2)&lt;&gt;"T6",LEFT(G30,2)&lt;&gt;"T7",LEFT(G30,2)&lt;&gt;"T8",LEFT(G30,2)&lt;&gt;"T9"),1,0)</formula>
    </cfRule>
    <cfRule type="expression" dxfId="3013" priority="3270">
      <formula>IF($C30&gt;0,IF(G$4=7,1,0),0)</formula>
    </cfRule>
    <cfRule type="expression" dxfId="3012" priority="3272">
      <formula>$C30&gt;0</formula>
    </cfRule>
    <cfRule type="expression" dxfId="3011" priority="3274">
      <formula>IF(OR(G30="T1.",G30="T2.",G30="T3.",G30="T4.",G30="T5.",G30="T6.",G30="T7.",G30="T8.",G30="T9."),1,0)</formula>
    </cfRule>
    <cfRule type="endsWith" dxfId="3010" priority="3276" operator="endsWith" text="_A">
      <formula>RIGHT(G30,LEN("_A"))="_A"</formula>
    </cfRule>
    <cfRule type="endsWith" dxfId="3009" priority="3278" operator="endsWith" text="_e">
      <formula>RIGHT(G30,LEN("_e"))="_e"</formula>
    </cfRule>
    <cfRule type="beginsWith" dxfId="3008" priority="3280" operator="beginsWith" text="ME-TL-AS">
      <formula>LEFT(G30,LEN("ME-TL-AS"))="ME-TL-AS"</formula>
    </cfRule>
    <cfRule type="beginsWith" dxfId="3007" priority="3282" operator="beginsWith" text="T-AS">
      <formula>LEFT(G30,LEN("T-AS"))="T-AS"</formula>
    </cfRule>
    <cfRule type="beginsWith" dxfId="3006" priority="3284" operator="beginsWith" text="M-KL">
      <formula>LEFT(G30,LEN("M-KL"))="M-KL"</formula>
    </cfRule>
    <cfRule type="beginsWith" dxfId="3005" priority="3286" operator="beginsWith" text="Ss">
      <formula>LEFT(G30,LEN("Ss"))="Ss"</formula>
    </cfRule>
    <cfRule type="beginsWith" dxfId="3004" priority="3288" operator="beginsWith" text="AC">
      <formula>LEFT(G30,LEN("AC"))="AC"</formula>
    </cfRule>
    <cfRule type="beginsWith" dxfId="3003" priority="3290" operator="beginsWith" text="TT">
      <formula>LEFT(G30,LEN("TT"))="TT"</formula>
    </cfRule>
    <cfRule type="beginsWith" dxfId="3002" priority="3292" operator="beginsWith" text="S">
      <formula>LEFT(G30,LEN("S"))="S"</formula>
    </cfRule>
    <cfRule type="beginsWith" dxfId="3001" priority="3294" operator="beginsWith" text="PK">
      <formula>LEFT(G30,LEN("PK"))="PK"</formula>
    </cfRule>
    <cfRule type="beginsWith" dxfId="3000" priority="3296" operator="beginsWith" text="W">
      <formula>LEFT(G30,LEN("W"))="W"</formula>
    </cfRule>
    <cfRule type="beginsWith" dxfId="2999" priority="3298" operator="beginsWith" text="Id">
      <formula>LEFT(G30,LEN("Id"))="Id"</formula>
    </cfRule>
    <cfRule type="beginsWith" dxfId="2998" priority="3300" operator="beginsWith" text="K">
      <formula>LEFT(G30,LEN("K"))="K"</formula>
    </cfRule>
    <cfRule type="beginsWith" dxfId="2997" priority="3302" operator="beginsWith" text="Is-ME">
      <formula>LEFT(G30,LEN("Is-ME"))="Is-ME"</formula>
    </cfRule>
    <cfRule type="beginsWith" dxfId="2996" priority="3304" operator="beginsWith" text="Is-Fe">
      <formula>LEFT(G30,LEN("Is-Fe"))="Is-Fe"</formula>
    </cfRule>
    <cfRule type="beginsWith" dxfId="2995" priority="3306" operator="beginsWith" text="Is">
      <formula>LEFT(G30,LEN("Is"))="Is"</formula>
    </cfRule>
    <cfRule type="beginsWith" dxfId="2994" priority="3308" operator="beginsWith" text="T">
      <formula>LEFT(G30,LEN("T"))="T"</formula>
    </cfRule>
    <cfRule type="beginsWith" dxfId="2993" priority="3310" operator="beginsWith" text="Mg">
      <formula>LEFT(G30,LEN("Mg"))="Mg"</formula>
    </cfRule>
    <cfRule type="beginsWith" dxfId="2992" priority="3312" operator="beginsWith" text="VM">
      <formula>LEFT(G30,LEN("VM"))="VM"</formula>
    </cfRule>
    <cfRule type="beginsWith" dxfId="2991" priority="3314" operator="beginsWith" text="ZW5">
      <formula>LEFT(G30,LEN("ZW5"))="ZW5"</formula>
    </cfRule>
    <cfRule type="beginsWith" dxfId="2990" priority="3316" operator="beginsWith" text="ZW3">
      <formula>LEFT(G30,LEN("ZW3"))="ZW3"</formula>
    </cfRule>
    <cfRule type="beginsWith" dxfId="2989" priority="3318" operator="beginsWith" text="ZW1">
      <formula>LEFT(G30,LEN("ZW1"))="ZW1"</formula>
    </cfRule>
    <cfRule type="beginsWith" dxfId="2988" priority="3320" operator="beginsWith" text="EW6">
      <formula>LEFT(G30,LEN("EW6"))="EW6"</formula>
    </cfRule>
    <cfRule type="beginsWith" dxfId="2987" priority="3322" operator="beginsWith" text="EW4">
      <formula>LEFT(G30,LEN("EW4"))="EW4"</formula>
    </cfRule>
    <cfRule type="beginsWith" dxfId="2986" priority="3324" operator="beginsWith" text="EW2">
      <formula>LEFT(G30,LEN("EW2"))="EW2"</formula>
    </cfRule>
    <cfRule type="beginsWith" dxfId="2985" priority="3326" operator="beginsWith" text="M-AS">
      <formula>LEFT(G30,LEN("M-AS"))="M-AS"</formula>
    </cfRule>
    <cfRule type="beginsWith" dxfId="2984" priority="3328" operator="beginsWith" text="TLP">
      <formula>LEFT(G30,LEN("TLP"))="TLP"</formula>
    </cfRule>
    <cfRule type="beginsWith" dxfId="2983" priority="3330" operator="beginsWith" text="US">
      <formula>LEFT(G30,LEN("US"))="US"</formula>
    </cfRule>
    <cfRule type="beginsWith" dxfId="2982" priority="3332" operator="beginsWith" text="AS">
      <formula>LEFT(G30,LEN("AS"))="AS"</formula>
    </cfRule>
    <cfRule type="beginsWith" dxfId="2981" priority="3334" operator="beginsWith" text="M-iW">
      <formula>LEFT(G30,LEN("M-iW"))="M-iW"</formula>
    </cfRule>
    <cfRule type="beginsWith" dxfId="2980" priority="3336" operator="beginsWith" text="MB">
      <formula>LEFT(G30,LEN("MB"))="MB"</formula>
    </cfRule>
  </conditionalFormatting>
  <conditionalFormatting sqref="G30:M30 S30:NJ30">
    <cfRule type="expression" dxfId="2979" priority="3261">
      <formula>$F30="--"</formula>
    </cfRule>
    <cfRule type="expression" dxfId="2978" priority="3263">
      <formula>G$3=$PP30</formula>
    </cfRule>
    <cfRule type="expression" dxfId="2977" priority="3265">
      <formula>G$3=$PN30</formula>
    </cfRule>
    <cfRule type="expression" dxfId="2976" priority="3267">
      <formula>G$3=$PL30</formula>
    </cfRule>
    <cfRule type="expression" dxfId="2975" priority="3269">
      <formula>IF(G30=0,IF(OR(G$4=6,G$4=7,G$5=1),1,0),0)</formula>
    </cfRule>
    <cfRule type="expression" dxfId="2974" priority="3271">
      <formula>IF($C30&gt;0,IF(G$4=1,1,0),0)</formula>
    </cfRule>
    <cfRule type="expression" dxfId="2973" priority="3273">
      <formula>IF(OR(G30="T1..",G30="T2..",G30="T3..",G30="T4..",G30="T5..",G30="T6..",G30="T7..",G30="T8..",G30="T9.."),1,0)</formula>
    </cfRule>
    <cfRule type="expression" dxfId="2972" priority="3275">
      <formula>IF(OR(G30="T1",G30="T2",G30="T3",G30="T4",G30="T5",G30="T6",G30="T7",G30="T8",G30="T9"),1,0)</formula>
    </cfRule>
    <cfRule type="endsWith" dxfId="2971" priority="3277" operator="endsWith" text="_x">
      <formula>RIGHT(G30,LEN("_x"))="_x"</formula>
    </cfRule>
    <cfRule type="beginsWith" dxfId="2970" priority="3279" operator="beginsWith" text="AS-TL">
      <formula>LEFT(G30,LEN("AS-TL"))="AS-TL"</formula>
    </cfRule>
    <cfRule type="beginsWith" dxfId="2969" priority="3281" operator="beginsWith" text="tbs">
      <formula>LEFT(G30,LEN("tbs"))="tbs"</formula>
    </cfRule>
    <cfRule type="beginsWith" dxfId="2968" priority="3283" operator="beginsWith" text="TL-AS">
      <formula>LEFT(G30,LEN("TL-AS"))="TL-AS"</formula>
    </cfRule>
    <cfRule type="beginsWith" dxfId="2967" priority="3285" operator="beginsWith" text="L">
      <formula>LEFT(G30,LEN("L"))="L"</formula>
    </cfRule>
    <cfRule type="beginsWith" dxfId="2966" priority="3287" operator="beginsWith" text="DC">
      <formula>LEFT(G30,LEN("DC"))="DC"</formula>
    </cfRule>
    <cfRule type="beginsWith" dxfId="2965" priority="3289" operator="beginsWith" text="FP">
      <formula>LEFT(G30,LEN("FP"))="FP"</formula>
    </cfRule>
    <cfRule type="beginsWith" dxfId="2964" priority="3291" operator="beginsWith" text="M-TT">
      <formula>LEFT(G30,LEN("M-TT"))="M-TT"</formula>
    </cfRule>
    <cfRule type="beginsWith" dxfId="2963" priority="3293" operator="beginsWith" text="Ü">
      <formula>LEFT(G30,LEN("Ü"))="Ü"</formula>
    </cfRule>
    <cfRule type="beginsWith" dxfId="2962" priority="3295" operator="beginsWith" text="iW">
      <formula>LEFT(G30,LEN("iW"))="iW"</formula>
    </cfRule>
    <cfRule type="beginsWith" dxfId="2961" priority="3297" operator="beginsWith" text="D">
      <formula>LEFT(G30,LEN("D"))="D"</formula>
    </cfRule>
    <cfRule type="beginsWith" dxfId="2960" priority="3299" operator="beginsWith" text="Kde">
      <formula>LEFT(G30,LEN("Kde"))="Kde"</formula>
    </cfRule>
    <cfRule type="beginsWith" dxfId="2959" priority="3301" operator="beginsWith" text="P">
      <formula>LEFT(G30,LEN("P"))="P"</formula>
    </cfRule>
    <cfRule type="beginsWith" dxfId="2958" priority="3303" operator="beginsWith" text="Is-M">
      <formula>LEFT(G30,LEN("Is-M"))="Is-M"</formula>
    </cfRule>
    <cfRule type="beginsWith" dxfId="2957" priority="3305" operator="beginsWith" text="Is-Id">
      <formula>LEFT(G30,LEN("Is-Id"))="Is-Id"</formula>
    </cfRule>
    <cfRule type="beginsWith" dxfId="2956" priority="3307" operator="beginsWith" text="M-Is">
      <formula>LEFT(G30,LEN("M-Is"))="M-Is"</formula>
    </cfRule>
    <cfRule type="beginsWith" dxfId="2955" priority="3309" operator="beginsWith" text="M-Fe">
      <formula>LEFT(G30,LEN("M-Fe"))="M-Fe"</formula>
    </cfRule>
    <cfRule type="beginsWith" dxfId="2954" priority="3311" operator="beginsWith" text="M-TP">
      <formula>LEFT(G30,LEN("M-TP"))="M-TP"</formula>
    </cfRule>
    <cfRule type="beginsWith" dxfId="2953" priority="3313" operator="beginsWith" text="ZW6">
      <formula>LEFT(G30,LEN("ZW6"))="ZW6"</formula>
    </cfRule>
    <cfRule type="beginsWith" dxfId="2952" priority="3315" operator="beginsWith" text="ZW4">
      <formula>LEFT(G30,LEN("ZW4"))="ZW4"</formula>
    </cfRule>
    <cfRule type="beginsWith" dxfId="2951" priority="3317" operator="beginsWith" text="ZW2">
      <formula>LEFT(G30,LEN("ZW2"))="ZW2"</formula>
    </cfRule>
    <cfRule type="beginsWith" dxfId="2950" priority="3319" operator="beginsWith" text="ZW0">
      <formula>LEFT(G30,LEN("ZW0"))="ZW0"</formula>
    </cfRule>
    <cfRule type="beginsWith" dxfId="2949" priority="3321" operator="beginsWith" text="EW5">
      <formula>LEFT(G30,LEN("EW5"))="EW5"</formula>
    </cfRule>
    <cfRule type="beginsWith" dxfId="2948" priority="3323" operator="beginsWith" text="EW3">
      <formula>LEFT(G30,LEN("EW3"))="EW3"</formula>
    </cfRule>
    <cfRule type="beginsWith" dxfId="2947" priority="3325" operator="beginsWith" text="EW1">
      <formula>LEFT(G30,LEN("EW1"))="EW1"</formula>
    </cfRule>
    <cfRule type="beginsWith" dxfId="2946" priority="3327" operator="beginsWith" text="TL-AS">
      <formula>LEFT(G30,LEN("TL-AS"))="TL-AS"</formula>
    </cfRule>
    <cfRule type="beginsWith" dxfId="2945" priority="3329" operator="beginsWith" text="TL">
      <formula>LEFT(G30,LEN("TL"))="TL"</formula>
    </cfRule>
    <cfRule type="beginsWith" dxfId="2944" priority="3331" operator="beginsWith" text="AF">
      <formula>LEFT(G30,LEN("AF"))="AF"</formula>
    </cfRule>
    <cfRule type="beginsWith" dxfId="2943" priority="3333" operator="beginsWith" text="M-DG">
      <formula>LEFT(G30,LEN("M-DG"))="M-DG"</formula>
    </cfRule>
    <cfRule type="beginsWith" dxfId="2942" priority="3335" operator="beginsWith" text="M-Kde">
      <formula>LEFT(G30,LEN("M-Kde"))="M-Kde"</formula>
    </cfRule>
  </conditionalFormatting>
  <conditionalFormatting sqref="G30:M30 S30:NJ30">
    <cfRule type="beginsWith" dxfId="2941" priority="3259" operator="beginsWith" text="M">
      <formula>LEFT(G30,LEN("M"))="M"</formula>
    </cfRule>
  </conditionalFormatting>
  <conditionalFormatting sqref="G30:M30 S30:NJ30">
    <cfRule type="beginsWith" dxfId="2940" priority="3258" operator="beginsWith" text="Is-MB">
      <formula>LEFT(G30,LEN("Is-MB"))="Is-MB"</formula>
    </cfRule>
  </conditionalFormatting>
  <conditionalFormatting sqref="G30:M30 S30:NJ30">
    <cfRule type="beginsWith" dxfId="2939" priority="3257" operator="beginsWith" text="Y">
      <formula>LEFT(G30,LEN("Y"))="Y"</formula>
    </cfRule>
  </conditionalFormatting>
  <conditionalFormatting sqref="G30:M30 S30:NJ30">
    <cfRule type="beginsWith" dxfId="2938" priority="3256" operator="beginsWith" text="M-FP">
      <formula>LEFT(G30,LEN("M-FP"))="M-FP"</formula>
    </cfRule>
  </conditionalFormatting>
  <conditionalFormatting sqref="G30:M30 S30:NJ30">
    <cfRule type="beginsWith" dxfId="2937" priority="3255" operator="beginsWith" text="ME">
      <formula>LEFT(G30,LEN("ME"))="ME"</formula>
    </cfRule>
  </conditionalFormatting>
  <conditionalFormatting sqref="G30:M30 S30:NJ30">
    <cfRule type="beginsWith" dxfId="2936" priority="3254" operator="beginsWith" text="ME-TL">
      <formula>LEFT(G30,LEN("ME-TL"))="ME-TL"</formula>
    </cfRule>
  </conditionalFormatting>
  <conditionalFormatting sqref="G30:M30 S30:NJ30">
    <cfRule type="beginsWith" dxfId="2935" priority="3253" operator="beginsWith" text="M-W">
      <formula>LEFT(G30,LEN("M-W"))="M-W"</formula>
    </cfRule>
  </conditionalFormatting>
  <conditionalFormatting sqref="A30:E30">
    <cfRule type="expression" dxfId="2934" priority="3337">
      <formula>IF(AND($A30=$A31,#REF!=#REF!,$B30=$B31),0,1)</formula>
    </cfRule>
  </conditionalFormatting>
  <conditionalFormatting sqref="A30:E30">
    <cfRule type="expression" dxfId="2933" priority="3338">
      <formula>$F30="--"</formula>
    </cfRule>
  </conditionalFormatting>
  <conditionalFormatting sqref="A30:E30">
    <cfRule type="expression" dxfId="2932" priority="3339">
      <formula>$F30="-"</formula>
    </cfRule>
  </conditionalFormatting>
  <conditionalFormatting sqref="G34:H34 L34:M34 S34:NJ34">
    <cfRule type="expression" dxfId="2931" priority="3173">
      <formula>$F34="-"</formula>
    </cfRule>
    <cfRule type="expression" dxfId="2930" priority="3175">
      <formula>G$3=$PQ34</formula>
    </cfRule>
    <cfRule type="expression" dxfId="2929" priority="3177">
      <formula>G$3=$PO34</formula>
    </cfRule>
    <cfRule type="expression" dxfId="2928" priority="3179">
      <formula>G$3=$PM34</formula>
    </cfRule>
    <cfRule type="expression" dxfId="2927" priority="3181">
      <formula>IF(AND(RIGHT(G34,1)=".",LEFT(G34,2)&lt;&gt;"T1",LEFT(G34,2)&lt;&gt;"T2",LEFT(G34,2)&lt;&gt;"T3",LEFT(G34,2)&lt;&gt;"T4",LEFT(G34,2)&lt;&gt;"T5",LEFT(G34,2)&lt;&gt;"T6",LEFT(G34,2)&lt;&gt;"T7",LEFT(G34,2)&lt;&gt;"T8",LEFT(G34,2)&lt;&gt;"T9"),1,0)</formula>
    </cfRule>
    <cfRule type="expression" dxfId="2926" priority="3183">
      <formula>IF($C34&gt;0,IF(G$4=7,1,0),0)</formula>
    </cfRule>
    <cfRule type="expression" dxfId="2925" priority="3185">
      <formula>$C34&gt;0</formula>
    </cfRule>
    <cfRule type="expression" dxfId="2924" priority="3187">
      <formula>IF(OR(G34="T1.",G34="T2.",G34="T3.",G34="T4.",G34="T5.",G34="T6.",G34="T7.",G34="T8.",G34="T9."),1,0)</formula>
    </cfRule>
    <cfRule type="endsWith" dxfId="2923" priority="3189" operator="endsWith" text="_A">
      <formula>RIGHT(G34,LEN("_A"))="_A"</formula>
    </cfRule>
    <cfRule type="endsWith" dxfId="2922" priority="3191" operator="endsWith" text="_e">
      <formula>RIGHT(G34,LEN("_e"))="_e"</formula>
    </cfRule>
    <cfRule type="beginsWith" dxfId="2921" priority="3193" operator="beginsWith" text="ME-TL-AS">
      <formula>LEFT(G34,LEN("ME-TL-AS"))="ME-TL-AS"</formula>
    </cfRule>
    <cfRule type="beginsWith" dxfId="2920" priority="3195" operator="beginsWith" text="T-AS">
      <formula>LEFT(G34,LEN("T-AS"))="T-AS"</formula>
    </cfRule>
    <cfRule type="beginsWith" dxfId="2919" priority="3197" operator="beginsWith" text="M-KL">
      <formula>LEFT(G34,LEN("M-KL"))="M-KL"</formula>
    </cfRule>
    <cfRule type="beginsWith" dxfId="2918" priority="3199" operator="beginsWith" text="Ss">
      <formula>LEFT(G34,LEN("Ss"))="Ss"</formula>
    </cfRule>
    <cfRule type="beginsWith" dxfId="2917" priority="3201" operator="beginsWith" text="AC">
      <formula>LEFT(G34,LEN("AC"))="AC"</formula>
    </cfRule>
    <cfRule type="beginsWith" dxfId="2916" priority="3203" operator="beginsWith" text="TT">
      <formula>LEFT(G34,LEN("TT"))="TT"</formula>
    </cfRule>
    <cfRule type="beginsWith" dxfId="2915" priority="3205" operator="beginsWith" text="S">
      <formula>LEFT(G34,LEN("S"))="S"</formula>
    </cfRule>
    <cfRule type="beginsWith" dxfId="2914" priority="3207" operator="beginsWith" text="PK">
      <formula>LEFT(G34,LEN("PK"))="PK"</formula>
    </cfRule>
    <cfRule type="beginsWith" dxfId="2913" priority="3209" operator="beginsWith" text="W">
      <formula>LEFT(G34,LEN("W"))="W"</formula>
    </cfRule>
    <cfRule type="beginsWith" dxfId="2912" priority="3211" operator="beginsWith" text="Id">
      <formula>LEFT(G34,LEN("Id"))="Id"</formula>
    </cfRule>
    <cfRule type="beginsWith" dxfId="2911" priority="3213" operator="beginsWith" text="K">
      <formula>LEFT(G34,LEN("K"))="K"</formula>
    </cfRule>
    <cfRule type="beginsWith" dxfId="2910" priority="3215" operator="beginsWith" text="Is-ME">
      <formula>LEFT(G34,LEN("Is-ME"))="Is-ME"</formula>
    </cfRule>
    <cfRule type="beginsWith" dxfId="2909" priority="3217" operator="beginsWith" text="Is-Fe">
      <formula>LEFT(G34,LEN("Is-Fe"))="Is-Fe"</formula>
    </cfRule>
    <cfRule type="beginsWith" dxfId="2908" priority="3219" operator="beginsWith" text="Is">
      <formula>LEFT(G34,LEN("Is"))="Is"</formula>
    </cfRule>
    <cfRule type="beginsWith" dxfId="2907" priority="3221" operator="beginsWith" text="T">
      <formula>LEFT(G34,LEN("T"))="T"</formula>
    </cfRule>
    <cfRule type="beginsWith" dxfId="2906" priority="3223" operator="beginsWith" text="Mg">
      <formula>LEFT(G34,LEN("Mg"))="Mg"</formula>
    </cfRule>
    <cfRule type="beginsWith" dxfId="2905" priority="3225" operator="beginsWith" text="VM">
      <formula>LEFT(G34,LEN("VM"))="VM"</formula>
    </cfRule>
    <cfRule type="beginsWith" dxfId="2904" priority="3227" operator="beginsWith" text="ZW5">
      <formula>LEFT(G34,LEN("ZW5"))="ZW5"</formula>
    </cfRule>
    <cfRule type="beginsWith" dxfId="2903" priority="3229" operator="beginsWith" text="ZW3">
      <formula>LEFT(G34,LEN("ZW3"))="ZW3"</formula>
    </cfRule>
    <cfRule type="beginsWith" dxfId="2902" priority="3231" operator="beginsWith" text="ZW1">
      <formula>LEFT(G34,LEN("ZW1"))="ZW1"</formula>
    </cfRule>
    <cfRule type="beginsWith" dxfId="2901" priority="3233" operator="beginsWith" text="EW6">
      <formula>LEFT(G34,LEN("EW6"))="EW6"</formula>
    </cfRule>
    <cfRule type="beginsWith" dxfId="2900" priority="3235" operator="beginsWith" text="EW4">
      <formula>LEFT(G34,LEN("EW4"))="EW4"</formula>
    </cfRule>
    <cfRule type="beginsWith" dxfId="2899" priority="3237" operator="beginsWith" text="EW2">
      <formula>LEFT(G34,LEN("EW2"))="EW2"</formula>
    </cfRule>
    <cfRule type="beginsWith" dxfId="2898" priority="3239" operator="beginsWith" text="M-AS">
      <formula>LEFT(G34,LEN("M-AS"))="M-AS"</formula>
    </cfRule>
    <cfRule type="beginsWith" dxfId="2897" priority="3241" operator="beginsWith" text="TLP">
      <formula>LEFT(G34,LEN("TLP"))="TLP"</formula>
    </cfRule>
    <cfRule type="beginsWith" dxfId="2896" priority="3243" operator="beginsWith" text="US">
      <formula>LEFT(G34,LEN("US"))="US"</formula>
    </cfRule>
    <cfRule type="beginsWith" dxfId="2895" priority="3245" operator="beginsWith" text="AS">
      <formula>LEFT(G34,LEN("AS"))="AS"</formula>
    </cfRule>
    <cfRule type="beginsWith" dxfId="2894" priority="3247" operator="beginsWith" text="M-iW">
      <formula>LEFT(G34,LEN("M-iW"))="M-iW"</formula>
    </cfRule>
    <cfRule type="beginsWith" dxfId="2893" priority="3249" operator="beginsWith" text="MB">
      <formula>LEFT(G34,LEN("MB"))="MB"</formula>
    </cfRule>
  </conditionalFormatting>
  <conditionalFormatting sqref="G34:H34 L34:M34 S34:NJ34">
    <cfRule type="expression" dxfId="2892" priority="3174">
      <formula>$F34="--"</formula>
    </cfRule>
    <cfRule type="expression" dxfId="2891" priority="3176">
      <formula>G$3=$PP34</formula>
    </cfRule>
    <cfRule type="expression" dxfId="2890" priority="3178">
      <formula>G$3=$PN34</formula>
    </cfRule>
    <cfRule type="expression" dxfId="2889" priority="3180">
      <formula>G$3=$PL34</formula>
    </cfRule>
    <cfRule type="expression" dxfId="2888" priority="3182">
      <formula>IF(G34=0,IF(OR(G$4=6,G$4=7,G$5=1),1,0),0)</formula>
    </cfRule>
    <cfRule type="expression" dxfId="2887" priority="3184">
      <formula>IF($C34&gt;0,IF(G$4=1,1,0),0)</formula>
    </cfRule>
    <cfRule type="expression" dxfId="2886" priority="3186">
      <formula>IF(OR(G34="T1..",G34="T2..",G34="T3..",G34="T4..",G34="T5..",G34="T6..",G34="T7..",G34="T8..",G34="T9.."),1,0)</formula>
    </cfRule>
    <cfRule type="expression" dxfId="2885" priority="3188">
      <formula>IF(OR(G34="T1",G34="T2",G34="T3",G34="T4",G34="T5",G34="T6",G34="T7",G34="T8",G34="T9"),1,0)</formula>
    </cfRule>
    <cfRule type="endsWith" dxfId="2884" priority="3190" operator="endsWith" text="_x">
      <formula>RIGHT(G34,LEN("_x"))="_x"</formula>
    </cfRule>
    <cfRule type="beginsWith" dxfId="2883" priority="3192" operator="beginsWith" text="AS-TL">
      <formula>LEFT(G34,LEN("AS-TL"))="AS-TL"</formula>
    </cfRule>
    <cfRule type="beginsWith" dxfId="2882" priority="3194" operator="beginsWith" text="tbs">
      <formula>LEFT(G34,LEN("tbs"))="tbs"</formula>
    </cfRule>
    <cfRule type="beginsWith" dxfId="2881" priority="3196" operator="beginsWith" text="TL-AS">
      <formula>LEFT(G34,LEN("TL-AS"))="TL-AS"</formula>
    </cfRule>
    <cfRule type="beginsWith" dxfId="2880" priority="3198" operator="beginsWith" text="L">
      <formula>LEFT(G34,LEN("L"))="L"</formula>
    </cfRule>
    <cfRule type="beginsWith" dxfId="2879" priority="3200" operator="beginsWith" text="DC">
      <formula>LEFT(G34,LEN("DC"))="DC"</formula>
    </cfRule>
    <cfRule type="beginsWith" dxfId="2878" priority="3202" operator="beginsWith" text="FP">
      <formula>LEFT(G34,LEN("FP"))="FP"</formula>
    </cfRule>
    <cfRule type="beginsWith" dxfId="2877" priority="3204" operator="beginsWith" text="M-TT">
      <formula>LEFT(G34,LEN("M-TT"))="M-TT"</formula>
    </cfRule>
    <cfRule type="beginsWith" dxfId="2876" priority="3206" operator="beginsWith" text="Ü">
      <formula>LEFT(G34,LEN("Ü"))="Ü"</formula>
    </cfRule>
    <cfRule type="beginsWith" dxfId="2875" priority="3208" operator="beginsWith" text="iW">
      <formula>LEFT(G34,LEN("iW"))="iW"</formula>
    </cfRule>
    <cfRule type="beginsWith" dxfId="2874" priority="3210" operator="beginsWith" text="D">
      <formula>LEFT(G34,LEN("D"))="D"</formula>
    </cfRule>
    <cfRule type="beginsWith" dxfId="2873" priority="3212" operator="beginsWith" text="Kde">
      <formula>LEFT(G34,LEN("Kde"))="Kde"</formula>
    </cfRule>
    <cfRule type="beginsWith" dxfId="2872" priority="3214" operator="beginsWith" text="P">
      <formula>LEFT(G34,LEN("P"))="P"</formula>
    </cfRule>
    <cfRule type="beginsWith" dxfId="2871" priority="3216" operator="beginsWith" text="Is-M">
      <formula>LEFT(G34,LEN("Is-M"))="Is-M"</formula>
    </cfRule>
    <cfRule type="beginsWith" dxfId="2870" priority="3218" operator="beginsWith" text="Is-Id">
      <formula>LEFT(G34,LEN("Is-Id"))="Is-Id"</formula>
    </cfRule>
    <cfRule type="beginsWith" dxfId="2869" priority="3220" operator="beginsWith" text="M-Is">
      <formula>LEFT(G34,LEN("M-Is"))="M-Is"</formula>
    </cfRule>
    <cfRule type="beginsWith" dxfId="2868" priority="3222" operator="beginsWith" text="M-Fe">
      <formula>LEFT(G34,LEN("M-Fe"))="M-Fe"</formula>
    </cfRule>
    <cfRule type="beginsWith" dxfId="2867" priority="3224" operator="beginsWith" text="M-TP">
      <formula>LEFT(G34,LEN("M-TP"))="M-TP"</formula>
    </cfRule>
    <cfRule type="beginsWith" dxfId="2866" priority="3226" operator="beginsWith" text="ZW6">
      <formula>LEFT(G34,LEN("ZW6"))="ZW6"</formula>
    </cfRule>
    <cfRule type="beginsWith" dxfId="2865" priority="3228" operator="beginsWith" text="ZW4">
      <formula>LEFT(G34,LEN("ZW4"))="ZW4"</formula>
    </cfRule>
    <cfRule type="beginsWith" dxfId="2864" priority="3230" operator="beginsWith" text="ZW2">
      <formula>LEFT(G34,LEN("ZW2"))="ZW2"</formula>
    </cfRule>
    <cfRule type="beginsWith" dxfId="2863" priority="3232" operator="beginsWith" text="ZW0">
      <formula>LEFT(G34,LEN("ZW0"))="ZW0"</formula>
    </cfRule>
    <cfRule type="beginsWith" dxfId="2862" priority="3234" operator="beginsWith" text="EW5">
      <formula>LEFT(G34,LEN("EW5"))="EW5"</formula>
    </cfRule>
    <cfRule type="beginsWith" dxfId="2861" priority="3236" operator="beginsWith" text="EW3">
      <formula>LEFT(G34,LEN("EW3"))="EW3"</formula>
    </cfRule>
    <cfRule type="beginsWith" dxfId="2860" priority="3238" operator="beginsWith" text="EW1">
      <formula>LEFT(G34,LEN("EW1"))="EW1"</formula>
    </cfRule>
    <cfRule type="beginsWith" dxfId="2859" priority="3240" operator="beginsWith" text="TL-AS">
      <formula>LEFT(G34,LEN("TL-AS"))="TL-AS"</formula>
    </cfRule>
    <cfRule type="beginsWith" dxfId="2858" priority="3242" operator="beginsWith" text="TL">
      <formula>LEFT(G34,LEN("TL"))="TL"</formula>
    </cfRule>
    <cfRule type="beginsWith" dxfId="2857" priority="3244" operator="beginsWith" text="AF">
      <formula>LEFT(G34,LEN("AF"))="AF"</formula>
    </cfRule>
    <cfRule type="beginsWith" dxfId="2856" priority="3246" operator="beginsWith" text="M-DG">
      <formula>LEFT(G34,LEN("M-DG"))="M-DG"</formula>
    </cfRule>
    <cfRule type="beginsWith" dxfId="2855" priority="3248" operator="beginsWith" text="M-Kde">
      <formula>LEFT(G34,LEN("M-Kde"))="M-Kde"</formula>
    </cfRule>
  </conditionalFormatting>
  <conditionalFormatting sqref="G34:H34 L34:M34 S34:NJ34">
    <cfRule type="beginsWith" dxfId="2854" priority="3172" operator="beginsWith" text="M">
      <formula>LEFT(G34,LEN("M"))="M"</formula>
    </cfRule>
  </conditionalFormatting>
  <conditionalFormatting sqref="G34:H34 L34:M34 S34:NJ34">
    <cfRule type="beginsWith" dxfId="2853" priority="3171" operator="beginsWith" text="Is-MB">
      <formula>LEFT(G34,LEN("Is-MB"))="Is-MB"</formula>
    </cfRule>
  </conditionalFormatting>
  <conditionalFormatting sqref="G34:H34 L34:M34 S34:NJ34">
    <cfRule type="beginsWith" dxfId="2852" priority="3170" operator="beginsWith" text="Y">
      <formula>LEFT(G34,LEN("Y"))="Y"</formula>
    </cfRule>
  </conditionalFormatting>
  <conditionalFormatting sqref="G34:H34 L34:M34 S34:NJ34">
    <cfRule type="beginsWith" dxfId="2851" priority="3169" operator="beginsWith" text="M-FP">
      <formula>LEFT(G34,LEN("M-FP"))="M-FP"</formula>
    </cfRule>
  </conditionalFormatting>
  <conditionalFormatting sqref="G34:H34 L34:M34 S34:NJ34">
    <cfRule type="beginsWith" dxfId="2850" priority="3168" operator="beginsWith" text="ME">
      <formula>LEFT(G34,LEN("ME"))="ME"</formula>
    </cfRule>
  </conditionalFormatting>
  <conditionalFormatting sqref="G34:H34 L34:M34 S34:NJ34">
    <cfRule type="beginsWith" dxfId="2849" priority="3167" operator="beginsWith" text="ME-TL">
      <formula>LEFT(G34,LEN("ME-TL"))="ME-TL"</formula>
    </cfRule>
  </conditionalFormatting>
  <conditionalFormatting sqref="G34:H34 L34:M34 S34:NJ34">
    <cfRule type="beginsWith" dxfId="2848" priority="3166" operator="beginsWith" text="M-W">
      <formula>LEFT(G34,LEN("M-W"))="M-W"</formula>
    </cfRule>
  </conditionalFormatting>
  <conditionalFormatting sqref="A34:E34">
    <cfRule type="expression" dxfId="2847" priority="3250">
      <formula>IF(AND($A34=$A35,#REF!=#REF!,$B34=$B35),0,1)</formula>
    </cfRule>
  </conditionalFormatting>
  <conditionalFormatting sqref="A34:E34">
    <cfRule type="expression" dxfId="2846" priority="3251">
      <formula>$F34="--"</formula>
    </cfRule>
  </conditionalFormatting>
  <conditionalFormatting sqref="A34:E34">
    <cfRule type="expression" dxfId="2845" priority="3252">
      <formula>$F34="-"</formula>
    </cfRule>
  </conditionalFormatting>
  <conditionalFormatting sqref="G38:H38 L38:M38 S38:NJ38">
    <cfRule type="expression" dxfId="2844" priority="3086">
      <formula>$F38="-"</formula>
    </cfRule>
    <cfRule type="expression" dxfId="2843" priority="3088">
      <formula>G$3=$PQ38</formula>
    </cfRule>
    <cfRule type="expression" dxfId="2842" priority="3090">
      <formula>G$3=$PO38</formula>
    </cfRule>
    <cfRule type="expression" dxfId="2841" priority="3092">
      <formula>G$3=$PM38</formula>
    </cfRule>
    <cfRule type="expression" dxfId="2840" priority="3094">
      <formula>IF(AND(RIGHT(G38,1)=".",LEFT(G38,2)&lt;&gt;"T1",LEFT(G38,2)&lt;&gt;"T2",LEFT(G38,2)&lt;&gt;"T3",LEFT(G38,2)&lt;&gt;"T4",LEFT(G38,2)&lt;&gt;"T5",LEFT(G38,2)&lt;&gt;"T6",LEFT(G38,2)&lt;&gt;"T7",LEFT(G38,2)&lt;&gt;"T8",LEFT(G38,2)&lt;&gt;"T9"),1,0)</formula>
    </cfRule>
    <cfRule type="expression" dxfId="2839" priority="3096">
      <formula>IF($C38&gt;0,IF(G$4=7,1,0),0)</formula>
    </cfRule>
    <cfRule type="expression" dxfId="2838" priority="3098">
      <formula>$C38&gt;0</formula>
    </cfRule>
    <cfRule type="expression" dxfId="2837" priority="3100">
      <formula>IF(OR(G38="T1.",G38="T2.",G38="T3.",G38="T4.",G38="T5.",G38="T6.",G38="T7.",G38="T8.",G38="T9."),1,0)</formula>
    </cfRule>
    <cfRule type="endsWith" dxfId="2836" priority="3102" operator="endsWith" text="_A">
      <formula>RIGHT(G38,LEN("_A"))="_A"</formula>
    </cfRule>
    <cfRule type="endsWith" dxfId="2835" priority="3104" operator="endsWith" text="_e">
      <formula>RIGHT(G38,LEN("_e"))="_e"</formula>
    </cfRule>
    <cfRule type="beginsWith" dxfId="2834" priority="3106" operator="beginsWith" text="ME-TL-AS">
      <formula>LEFT(G38,LEN("ME-TL-AS"))="ME-TL-AS"</formula>
    </cfRule>
    <cfRule type="beginsWith" dxfId="2833" priority="3108" operator="beginsWith" text="T-AS">
      <formula>LEFT(G38,LEN("T-AS"))="T-AS"</formula>
    </cfRule>
    <cfRule type="beginsWith" dxfId="2832" priority="3110" operator="beginsWith" text="M-KL">
      <formula>LEFT(G38,LEN("M-KL"))="M-KL"</formula>
    </cfRule>
    <cfRule type="beginsWith" dxfId="2831" priority="3112" operator="beginsWith" text="Ss">
      <formula>LEFT(G38,LEN("Ss"))="Ss"</formula>
    </cfRule>
    <cfRule type="beginsWith" dxfId="2830" priority="3114" operator="beginsWith" text="AC">
      <formula>LEFT(G38,LEN("AC"))="AC"</formula>
    </cfRule>
    <cfRule type="beginsWith" dxfId="2829" priority="3116" operator="beginsWith" text="TT">
      <formula>LEFT(G38,LEN("TT"))="TT"</formula>
    </cfRule>
    <cfRule type="beginsWith" dxfId="2828" priority="3118" operator="beginsWith" text="S">
      <formula>LEFT(G38,LEN("S"))="S"</formula>
    </cfRule>
    <cfRule type="beginsWith" dxfId="2827" priority="3120" operator="beginsWith" text="PK">
      <formula>LEFT(G38,LEN("PK"))="PK"</formula>
    </cfRule>
    <cfRule type="beginsWith" dxfId="2826" priority="3122" operator="beginsWith" text="W">
      <formula>LEFT(G38,LEN("W"))="W"</formula>
    </cfRule>
    <cfRule type="beginsWith" dxfId="2825" priority="3124" operator="beginsWith" text="Id">
      <formula>LEFT(G38,LEN("Id"))="Id"</formula>
    </cfRule>
    <cfRule type="beginsWith" dxfId="2824" priority="3126" operator="beginsWith" text="K">
      <formula>LEFT(G38,LEN("K"))="K"</formula>
    </cfRule>
    <cfRule type="beginsWith" dxfId="2823" priority="3128" operator="beginsWith" text="Is-ME">
      <formula>LEFT(G38,LEN("Is-ME"))="Is-ME"</formula>
    </cfRule>
    <cfRule type="beginsWith" dxfId="2822" priority="3130" operator="beginsWith" text="Is-Fe">
      <formula>LEFT(G38,LEN("Is-Fe"))="Is-Fe"</formula>
    </cfRule>
    <cfRule type="beginsWith" dxfId="2821" priority="3132" operator="beginsWith" text="Is">
      <formula>LEFT(G38,LEN("Is"))="Is"</formula>
    </cfRule>
    <cfRule type="beginsWith" dxfId="2820" priority="3134" operator="beginsWith" text="T">
      <formula>LEFT(G38,LEN("T"))="T"</formula>
    </cfRule>
    <cfRule type="beginsWith" dxfId="2819" priority="3136" operator="beginsWith" text="Mg">
      <formula>LEFT(G38,LEN("Mg"))="Mg"</formula>
    </cfRule>
    <cfRule type="beginsWith" dxfId="2818" priority="3138" operator="beginsWith" text="VM">
      <formula>LEFT(G38,LEN("VM"))="VM"</formula>
    </cfRule>
    <cfRule type="beginsWith" dxfId="2817" priority="3140" operator="beginsWith" text="ZW5">
      <formula>LEFT(G38,LEN("ZW5"))="ZW5"</formula>
    </cfRule>
    <cfRule type="beginsWith" dxfId="2816" priority="3142" operator="beginsWith" text="ZW3">
      <formula>LEFT(G38,LEN("ZW3"))="ZW3"</formula>
    </cfRule>
    <cfRule type="beginsWith" dxfId="2815" priority="3144" operator="beginsWith" text="ZW1">
      <formula>LEFT(G38,LEN("ZW1"))="ZW1"</formula>
    </cfRule>
    <cfRule type="beginsWith" dxfId="2814" priority="3146" operator="beginsWith" text="EW6">
      <formula>LEFT(G38,LEN("EW6"))="EW6"</formula>
    </cfRule>
    <cfRule type="beginsWith" dxfId="2813" priority="3148" operator="beginsWith" text="EW4">
      <formula>LEFT(G38,LEN("EW4"))="EW4"</formula>
    </cfRule>
    <cfRule type="beginsWith" dxfId="2812" priority="3150" operator="beginsWith" text="EW2">
      <formula>LEFT(G38,LEN("EW2"))="EW2"</formula>
    </cfRule>
    <cfRule type="beginsWith" dxfId="2811" priority="3152" operator="beginsWith" text="M-AS">
      <formula>LEFT(G38,LEN("M-AS"))="M-AS"</formula>
    </cfRule>
    <cfRule type="beginsWith" dxfId="2810" priority="3154" operator="beginsWith" text="TLP">
      <formula>LEFT(G38,LEN("TLP"))="TLP"</formula>
    </cfRule>
    <cfRule type="beginsWith" dxfId="2809" priority="3156" operator="beginsWith" text="US">
      <formula>LEFT(G38,LEN("US"))="US"</formula>
    </cfRule>
    <cfRule type="beginsWith" dxfId="2808" priority="3158" operator="beginsWith" text="AS">
      <formula>LEFT(G38,LEN("AS"))="AS"</formula>
    </cfRule>
    <cfRule type="beginsWith" dxfId="2807" priority="3160" operator="beginsWith" text="M-iW">
      <formula>LEFT(G38,LEN("M-iW"))="M-iW"</formula>
    </cfRule>
    <cfRule type="beginsWith" dxfId="2806" priority="3162" operator="beginsWith" text="MB">
      <formula>LEFT(G38,LEN("MB"))="MB"</formula>
    </cfRule>
  </conditionalFormatting>
  <conditionalFormatting sqref="G38:H38 L38:M38 S38:NJ38">
    <cfRule type="expression" dxfId="2805" priority="3087">
      <formula>$F38="--"</formula>
    </cfRule>
    <cfRule type="expression" dxfId="2804" priority="3089">
      <formula>G$3=$PP38</formula>
    </cfRule>
    <cfRule type="expression" dxfId="2803" priority="3091">
      <formula>G$3=$PN38</formula>
    </cfRule>
    <cfRule type="expression" dxfId="2802" priority="3093">
      <formula>G$3=$PL38</formula>
    </cfRule>
    <cfRule type="expression" dxfId="2801" priority="3095">
      <formula>IF(G38=0,IF(OR(G$4=6,G$4=7,G$5=1),1,0),0)</formula>
    </cfRule>
    <cfRule type="expression" dxfId="2800" priority="3097">
      <formula>IF($C38&gt;0,IF(G$4=1,1,0),0)</formula>
    </cfRule>
    <cfRule type="expression" dxfId="2799" priority="3099">
      <formula>IF(OR(G38="T1..",G38="T2..",G38="T3..",G38="T4..",G38="T5..",G38="T6..",G38="T7..",G38="T8..",G38="T9.."),1,0)</formula>
    </cfRule>
    <cfRule type="expression" dxfId="2798" priority="3101">
      <formula>IF(OR(G38="T1",G38="T2",G38="T3",G38="T4",G38="T5",G38="T6",G38="T7",G38="T8",G38="T9"),1,0)</formula>
    </cfRule>
    <cfRule type="endsWith" dxfId="2797" priority="3103" operator="endsWith" text="_x">
      <formula>RIGHT(G38,LEN("_x"))="_x"</formula>
    </cfRule>
    <cfRule type="beginsWith" dxfId="2796" priority="3105" operator="beginsWith" text="AS-TL">
      <formula>LEFT(G38,LEN("AS-TL"))="AS-TL"</formula>
    </cfRule>
    <cfRule type="beginsWith" dxfId="2795" priority="3107" operator="beginsWith" text="tbs">
      <formula>LEFT(G38,LEN("tbs"))="tbs"</formula>
    </cfRule>
    <cfRule type="beginsWith" dxfId="2794" priority="3109" operator="beginsWith" text="TL-AS">
      <formula>LEFT(G38,LEN("TL-AS"))="TL-AS"</formula>
    </cfRule>
    <cfRule type="beginsWith" dxfId="2793" priority="3111" operator="beginsWith" text="L">
      <formula>LEFT(G38,LEN("L"))="L"</formula>
    </cfRule>
    <cfRule type="beginsWith" dxfId="2792" priority="3113" operator="beginsWith" text="DC">
      <formula>LEFT(G38,LEN("DC"))="DC"</formula>
    </cfRule>
    <cfRule type="beginsWith" dxfId="2791" priority="3115" operator="beginsWith" text="FP">
      <formula>LEFT(G38,LEN("FP"))="FP"</formula>
    </cfRule>
    <cfRule type="beginsWith" dxfId="2790" priority="3117" operator="beginsWith" text="M-TT">
      <formula>LEFT(G38,LEN("M-TT"))="M-TT"</formula>
    </cfRule>
    <cfRule type="beginsWith" dxfId="2789" priority="3119" operator="beginsWith" text="Ü">
      <formula>LEFT(G38,LEN("Ü"))="Ü"</formula>
    </cfRule>
    <cfRule type="beginsWith" dxfId="2788" priority="3121" operator="beginsWith" text="iW">
      <formula>LEFT(G38,LEN("iW"))="iW"</formula>
    </cfRule>
    <cfRule type="beginsWith" dxfId="2787" priority="3123" operator="beginsWith" text="D">
      <formula>LEFT(G38,LEN("D"))="D"</formula>
    </cfRule>
    <cfRule type="beginsWith" dxfId="2786" priority="3125" operator="beginsWith" text="Kde">
      <formula>LEFT(G38,LEN("Kde"))="Kde"</formula>
    </cfRule>
    <cfRule type="beginsWith" dxfId="2785" priority="3127" operator="beginsWith" text="P">
      <formula>LEFT(G38,LEN("P"))="P"</formula>
    </cfRule>
    <cfRule type="beginsWith" dxfId="2784" priority="3129" operator="beginsWith" text="Is-M">
      <formula>LEFT(G38,LEN("Is-M"))="Is-M"</formula>
    </cfRule>
    <cfRule type="beginsWith" dxfId="2783" priority="3131" operator="beginsWith" text="Is-Id">
      <formula>LEFT(G38,LEN("Is-Id"))="Is-Id"</formula>
    </cfRule>
    <cfRule type="beginsWith" dxfId="2782" priority="3133" operator="beginsWith" text="M-Is">
      <formula>LEFT(G38,LEN("M-Is"))="M-Is"</formula>
    </cfRule>
    <cfRule type="beginsWith" dxfId="2781" priority="3135" operator="beginsWith" text="M-Fe">
      <formula>LEFT(G38,LEN("M-Fe"))="M-Fe"</formula>
    </cfRule>
    <cfRule type="beginsWith" dxfId="2780" priority="3137" operator="beginsWith" text="M-TP">
      <formula>LEFT(G38,LEN("M-TP"))="M-TP"</formula>
    </cfRule>
    <cfRule type="beginsWith" dxfId="2779" priority="3139" operator="beginsWith" text="ZW6">
      <formula>LEFT(G38,LEN("ZW6"))="ZW6"</formula>
    </cfRule>
    <cfRule type="beginsWith" dxfId="2778" priority="3141" operator="beginsWith" text="ZW4">
      <formula>LEFT(G38,LEN("ZW4"))="ZW4"</formula>
    </cfRule>
    <cfRule type="beginsWith" dxfId="2777" priority="3143" operator="beginsWith" text="ZW2">
      <formula>LEFT(G38,LEN("ZW2"))="ZW2"</formula>
    </cfRule>
    <cfRule type="beginsWith" dxfId="2776" priority="3145" operator="beginsWith" text="ZW0">
      <formula>LEFT(G38,LEN("ZW0"))="ZW0"</formula>
    </cfRule>
    <cfRule type="beginsWith" dxfId="2775" priority="3147" operator="beginsWith" text="EW5">
      <formula>LEFT(G38,LEN("EW5"))="EW5"</formula>
    </cfRule>
    <cfRule type="beginsWith" dxfId="2774" priority="3149" operator="beginsWith" text="EW3">
      <formula>LEFT(G38,LEN("EW3"))="EW3"</formula>
    </cfRule>
    <cfRule type="beginsWith" dxfId="2773" priority="3151" operator="beginsWith" text="EW1">
      <formula>LEFT(G38,LEN("EW1"))="EW1"</formula>
    </cfRule>
    <cfRule type="beginsWith" dxfId="2772" priority="3153" operator="beginsWith" text="TL-AS">
      <formula>LEFT(G38,LEN("TL-AS"))="TL-AS"</formula>
    </cfRule>
    <cfRule type="beginsWith" dxfId="2771" priority="3155" operator="beginsWith" text="TL">
      <formula>LEFT(G38,LEN("TL"))="TL"</formula>
    </cfRule>
    <cfRule type="beginsWith" dxfId="2770" priority="3157" operator="beginsWith" text="AF">
      <formula>LEFT(G38,LEN("AF"))="AF"</formula>
    </cfRule>
    <cfRule type="beginsWith" dxfId="2769" priority="3159" operator="beginsWith" text="M-DG">
      <formula>LEFT(G38,LEN("M-DG"))="M-DG"</formula>
    </cfRule>
    <cfRule type="beginsWith" dxfId="2768" priority="3161" operator="beginsWith" text="M-Kde">
      <formula>LEFT(G38,LEN("M-Kde"))="M-Kde"</formula>
    </cfRule>
  </conditionalFormatting>
  <conditionalFormatting sqref="G38:H38 L38:M38 S38:NJ38">
    <cfRule type="beginsWith" dxfId="2767" priority="3085" operator="beginsWith" text="M">
      <formula>LEFT(G38,LEN("M"))="M"</formula>
    </cfRule>
  </conditionalFormatting>
  <conditionalFormatting sqref="G38:H38 L38:M38 S38:NJ38">
    <cfRule type="beginsWith" dxfId="2766" priority="3084" operator="beginsWith" text="Is-MB">
      <formula>LEFT(G38,LEN("Is-MB"))="Is-MB"</formula>
    </cfRule>
  </conditionalFormatting>
  <conditionalFormatting sqref="G38:H38 L38:M38 S38:NJ38">
    <cfRule type="beginsWith" dxfId="2765" priority="3083" operator="beginsWith" text="Y">
      <formula>LEFT(G38,LEN("Y"))="Y"</formula>
    </cfRule>
  </conditionalFormatting>
  <conditionalFormatting sqref="G38:H38 L38:M38 S38:NJ38">
    <cfRule type="beginsWith" dxfId="2764" priority="3082" operator="beginsWith" text="M-FP">
      <formula>LEFT(G38,LEN("M-FP"))="M-FP"</formula>
    </cfRule>
  </conditionalFormatting>
  <conditionalFormatting sqref="G38:H38 L38:M38 S38:NJ38">
    <cfRule type="beginsWith" dxfId="2763" priority="3081" operator="beginsWith" text="ME">
      <formula>LEFT(G38,LEN("ME"))="ME"</formula>
    </cfRule>
  </conditionalFormatting>
  <conditionalFormatting sqref="G38:H38 L38:M38 S38:NJ38">
    <cfRule type="beginsWith" dxfId="2762" priority="3080" operator="beginsWith" text="ME-TL">
      <formula>LEFT(G38,LEN("ME-TL"))="ME-TL"</formula>
    </cfRule>
  </conditionalFormatting>
  <conditionalFormatting sqref="G38:H38 L38:M38 S38:NJ38">
    <cfRule type="beginsWith" dxfId="2761" priority="3079" operator="beginsWith" text="M-W">
      <formula>LEFT(G38,LEN("M-W"))="M-W"</formula>
    </cfRule>
  </conditionalFormatting>
  <conditionalFormatting sqref="A38:E38">
    <cfRule type="expression" dxfId="2760" priority="3163">
      <formula>IF(AND($A38=$A39,#REF!=#REF!,$B38=$B39),0,1)</formula>
    </cfRule>
  </conditionalFormatting>
  <conditionalFormatting sqref="A38:E38">
    <cfRule type="expression" dxfId="2759" priority="3164">
      <formula>$F38="--"</formula>
    </cfRule>
  </conditionalFormatting>
  <conditionalFormatting sqref="A38:E38">
    <cfRule type="expression" dxfId="2758" priority="3165">
      <formula>$F38="-"</formula>
    </cfRule>
  </conditionalFormatting>
  <conditionalFormatting sqref="G42:H42 L42:NJ42">
    <cfRule type="expression" dxfId="2757" priority="2999">
      <formula>$F42="-"</formula>
    </cfRule>
    <cfRule type="expression" dxfId="2756" priority="3001">
      <formula>G$3=$PQ42</formula>
    </cfRule>
    <cfRule type="expression" dxfId="2755" priority="3003">
      <formula>G$3=$PO42</formula>
    </cfRule>
    <cfRule type="expression" dxfId="2754" priority="3005">
      <formula>G$3=$PM42</formula>
    </cfRule>
    <cfRule type="expression" dxfId="2753" priority="3007">
      <formula>IF(AND(RIGHT(G42,1)=".",LEFT(G42,2)&lt;&gt;"T1",LEFT(G42,2)&lt;&gt;"T2",LEFT(G42,2)&lt;&gt;"T3",LEFT(G42,2)&lt;&gt;"T4",LEFT(G42,2)&lt;&gt;"T5",LEFT(G42,2)&lt;&gt;"T6",LEFT(G42,2)&lt;&gt;"T7",LEFT(G42,2)&lt;&gt;"T8",LEFT(G42,2)&lt;&gt;"T9"),1,0)</formula>
    </cfRule>
    <cfRule type="expression" dxfId="2752" priority="3009">
      <formula>IF($C42&gt;0,IF(G$4=7,1,0),0)</formula>
    </cfRule>
    <cfRule type="expression" dxfId="2751" priority="3011">
      <formula>$C42&gt;0</formula>
    </cfRule>
    <cfRule type="expression" dxfId="2750" priority="3013">
      <formula>IF(OR(G42="T1.",G42="T2.",G42="T3.",G42="T4.",G42="T5.",G42="T6.",G42="T7.",G42="T8.",G42="T9."),1,0)</formula>
    </cfRule>
    <cfRule type="endsWith" dxfId="2749" priority="3015" operator="endsWith" text="_A">
      <formula>RIGHT(G42,LEN("_A"))="_A"</formula>
    </cfRule>
    <cfRule type="endsWith" dxfId="2748" priority="3017" operator="endsWith" text="_e">
      <formula>RIGHT(G42,LEN("_e"))="_e"</formula>
    </cfRule>
    <cfRule type="beginsWith" dxfId="2747" priority="3019" operator="beginsWith" text="ME-TL-AS">
      <formula>LEFT(G42,LEN("ME-TL-AS"))="ME-TL-AS"</formula>
    </cfRule>
    <cfRule type="beginsWith" dxfId="2746" priority="3021" operator="beginsWith" text="T-AS">
      <formula>LEFT(G42,LEN("T-AS"))="T-AS"</formula>
    </cfRule>
    <cfRule type="beginsWith" dxfId="2745" priority="3023" operator="beginsWith" text="M-KL">
      <formula>LEFT(G42,LEN("M-KL"))="M-KL"</formula>
    </cfRule>
    <cfRule type="beginsWith" dxfId="2744" priority="3025" operator="beginsWith" text="Ss">
      <formula>LEFT(G42,LEN("Ss"))="Ss"</formula>
    </cfRule>
    <cfRule type="beginsWith" dxfId="2743" priority="3027" operator="beginsWith" text="AC">
      <formula>LEFT(G42,LEN("AC"))="AC"</formula>
    </cfRule>
    <cfRule type="beginsWith" dxfId="2742" priority="3029" operator="beginsWith" text="TT">
      <formula>LEFT(G42,LEN("TT"))="TT"</formula>
    </cfRule>
    <cfRule type="beginsWith" dxfId="2741" priority="3031" operator="beginsWith" text="S">
      <formula>LEFT(G42,LEN("S"))="S"</formula>
    </cfRule>
    <cfRule type="beginsWith" dxfId="2740" priority="3033" operator="beginsWith" text="PK">
      <formula>LEFT(G42,LEN("PK"))="PK"</formula>
    </cfRule>
    <cfRule type="beginsWith" dxfId="2739" priority="3035" operator="beginsWith" text="W">
      <formula>LEFT(G42,LEN("W"))="W"</formula>
    </cfRule>
    <cfRule type="beginsWith" dxfId="2738" priority="3037" operator="beginsWith" text="Id">
      <formula>LEFT(G42,LEN("Id"))="Id"</formula>
    </cfRule>
    <cfRule type="beginsWith" dxfId="2737" priority="3039" operator="beginsWith" text="K">
      <formula>LEFT(G42,LEN("K"))="K"</formula>
    </cfRule>
    <cfRule type="beginsWith" dxfId="2736" priority="3041" operator="beginsWith" text="Is-ME">
      <formula>LEFT(G42,LEN("Is-ME"))="Is-ME"</formula>
    </cfRule>
    <cfRule type="beginsWith" dxfId="2735" priority="3043" operator="beginsWith" text="Is-Fe">
      <formula>LEFT(G42,LEN("Is-Fe"))="Is-Fe"</formula>
    </cfRule>
    <cfRule type="beginsWith" dxfId="2734" priority="3045" operator="beginsWith" text="Is">
      <formula>LEFT(G42,LEN("Is"))="Is"</formula>
    </cfRule>
    <cfRule type="beginsWith" dxfId="2733" priority="3047" operator="beginsWith" text="T">
      <formula>LEFT(G42,LEN("T"))="T"</formula>
    </cfRule>
    <cfRule type="beginsWith" dxfId="2732" priority="3049" operator="beginsWith" text="Mg">
      <formula>LEFT(G42,LEN("Mg"))="Mg"</formula>
    </cfRule>
    <cfRule type="beginsWith" dxfId="2731" priority="3051" operator="beginsWith" text="VM">
      <formula>LEFT(G42,LEN("VM"))="VM"</formula>
    </cfRule>
    <cfRule type="beginsWith" dxfId="2730" priority="3053" operator="beginsWith" text="ZW5">
      <formula>LEFT(G42,LEN("ZW5"))="ZW5"</formula>
    </cfRule>
    <cfRule type="beginsWith" dxfId="2729" priority="3055" operator="beginsWith" text="ZW3">
      <formula>LEFT(G42,LEN("ZW3"))="ZW3"</formula>
    </cfRule>
    <cfRule type="beginsWith" dxfId="2728" priority="3057" operator="beginsWith" text="ZW1">
      <formula>LEFT(G42,LEN("ZW1"))="ZW1"</formula>
    </cfRule>
    <cfRule type="beginsWith" dxfId="2727" priority="3059" operator="beginsWith" text="EW6">
      <formula>LEFT(G42,LEN("EW6"))="EW6"</formula>
    </cfRule>
    <cfRule type="beginsWith" dxfId="2726" priority="3061" operator="beginsWith" text="EW4">
      <formula>LEFT(G42,LEN("EW4"))="EW4"</formula>
    </cfRule>
    <cfRule type="beginsWith" dxfId="2725" priority="3063" operator="beginsWith" text="EW2">
      <formula>LEFT(G42,LEN("EW2"))="EW2"</formula>
    </cfRule>
    <cfRule type="beginsWith" dxfId="2724" priority="3065" operator="beginsWith" text="M-AS">
      <formula>LEFT(G42,LEN("M-AS"))="M-AS"</formula>
    </cfRule>
    <cfRule type="beginsWith" dxfId="2723" priority="3067" operator="beginsWith" text="TLP">
      <formula>LEFT(G42,LEN("TLP"))="TLP"</formula>
    </cfRule>
    <cfRule type="beginsWith" dxfId="2722" priority="3069" operator="beginsWith" text="US">
      <formula>LEFT(G42,LEN("US"))="US"</formula>
    </cfRule>
    <cfRule type="beginsWith" dxfId="2721" priority="3071" operator="beginsWith" text="AS">
      <formula>LEFT(G42,LEN("AS"))="AS"</formula>
    </cfRule>
    <cfRule type="beginsWith" dxfId="2720" priority="3073" operator="beginsWith" text="M-iW">
      <formula>LEFT(G42,LEN("M-iW"))="M-iW"</formula>
    </cfRule>
    <cfRule type="beginsWith" dxfId="2719" priority="3075" operator="beginsWith" text="MB">
      <formula>LEFT(G42,LEN("MB"))="MB"</formula>
    </cfRule>
  </conditionalFormatting>
  <conditionalFormatting sqref="G42:H42 L42:NJ42">
    <cfRule type="expression" dxfId="2718" priority="3000">
      <formula>$F42="--"</formula>
    </cfRule>
    <cfRule type="expression" dxfId="2717" priority="3002">
      <formula>G$3=$PP42</formula>
    </cfRule>
    <cfRule type="expression" dxfId="2716" priority="3004">
      <formula>G$3=$PN42</formula>
    </cfRule>
    <cfRule type="expression" dxfId="2715" priority="3006">
      <formula>G$3=$PL42</formula>
    </cfRule>
    <cfRule type="expression" dxfId="2714" priority="3008">
      <formula>IF(G42=0,IF(OR(G$4=6,G$4=7,G$5=1),1,0),0)</formula>
    </cfRule>
    <cfRule type="expression" dxfId="2713" priority="3010">
      <formula>IF($C42&gt;0,IF(G$4=1,1,0),0)</formula>
    </cfRule>
    <cfRule type="expression" dxfId="2712" priority="3012">
      <formula>IF(OR(G42="T1..",G42="T2..",G42="T3..",G42="T4..",G42="T5..",G42="T6..",G42="T7..",G42="T8..",G42="T9.."),1,0)</formula>
    </cfRule>
    <cfRule type="expression" dxfId="2711" priority="3014">
      <formula>IF(OR(G42="T1",G42="T2",G42="T3",G42="T4",G42="T5",G42="T6",G42="T7",G42="T8",G42="T9"),1,0)</formula>
    </cfRule>
    <cfRule type="endsWith" dxfId="2710" priority="3016" operator="endsWith" text="_x">
      <formula>RIGHT(G42,LEN("_x"))="_x"</formula>
    </cfRule>
    <cfRule type="beginsWith" dxfId="2709" priority="3018" operator="beginsWith" text="AS-TL">
      <formula>LEFT(G42,LEN("AS-TL"))="AS-TL"</formula>
    </cfRule>
    <cfRule type="beginsWith" dxfId="2708" priority="3020" operator="beginsWith" text="tbs">
      <formula>LEFT(G42,LEN("tbs"))="tbs"</formula>
    </cfRule>
    <cfRule type="beginsWith" dxfId="2707" priority="3022" operator="beginsWith" text="TL-AS">
      <formula>LEFT(G42,LEN("TL-AS"))="TL-AS"</formula>
    </cfRule>
    <cfRule type="beginsWith" dxfId="2706" priority="3024" operator="beginsWith" text="L">
      <formula>LEFT(G42,LEN("L"))="L"</formula>
    </cfRule>
    <cfRule type="beginsWith" dxfId="2705" priority="3026" operator="beginsWith" text="DC">
      <formula>LEFT(G42,LEN("DC"))="DC"</formula>
    </cfRule>
    <cfRule type="beginsWith" dxfId="2704" priority="3028" operator="beginsWith" text="FP">
      <formula>LEFT(G42,LEN("FP"))="FP"</formula>
    </cfRule>
    <cfRule type="beginsWith" dxfId="2703" priority="3030" operator="beginsWith" text="M-TT">
      <formula>LEFT(G42,LEN("M-TT"))="M-TT"</formula>
    </cfRule>
    <cfRule type="beginsWith" dxfId="2702" priority="3032" operator="beginsWith" text="Ü">
      <formula>LEFT(G42,LEN("Ü"))="Ü"</formula>
    </cfRule>
    <cfRule type="beginsWith" dxfId="2701" priority="3034" operator="beginsWith" text="iW">
      <formula>LEFT(G42,LEN("iW"))="iW"</formula>
    </cfRule>
    <cfRule type="beginsWith" dxfId="2700" priority="3036" operator="beginsWith" text="D">
      <formula>LEFT(G42,LEN("D"))="D"</formula>
    </cfRule>
    <cfRule type="beginsWith" dxfId="2699" priority="3038" operator="beginsWith" text="Kde">
      <formula>LEFT(G42,LEN("Kde"))="Kde"</formula>
    </cfRule>
    <cfRule type="beginsWith" dxfId="2698" priority="3040" operator="beginsWith" text="P">
      <formula>LEFT(G42,LEN("P"))="P"</formula>
    </cfRule>
    <cfRule type="beginsWith" dxfId="2697" priority="3042" operator="beginsWith" text="Is-M">
      <formula>LEFT(G42,LEN("Is-M"))="Is-M"</formula>
    </cfRule>
    <cfRule type="beginsWith" dxfId="2696" priority="3044" operator="beginsWith" text="Is-Id">
      <formula>LEFT(G42,LEN("Is-Id"))="Is-Id"</formula>
    </cfRule>
    <cfRule type="beginsWith" dxfId="2695" priority="3046" operator="beginsWith" text="M-Is">
      <formula>LEFT(G42,LEN("M-Is"))="M-Is"</formula>
    </cfRule>
    <cfRule type="beginsWith" dxfId="2694" priority="3048" operator="beginsWith" text="M-Fe">
      <formula>LEFT(G42,LEN("M-Fe"))="M-Fe"</formula>
    </cfRule>
    <cfRule type="beginsWith" dxfId="2693" priority="3050" operator="beginsWith" text="M-TP">
      <formula>LEFT(G42,LEN("M-TP"))="M-TP"</formula>
    </cfRule>
    <cfRule type="beginsWith" dxfId="2692" priority="3052" operator="beginsWith" text="ZW6">
      <formula>LEFT(G42,LEN("ZW6"))="ZW6"</formula>
    </cfRule>
    <cfRule type="beginsWith" dxfId="2691" priority="3054" operator="beginsWith" text="ZW4">
      <formula>LEFT(G42,LEN("ZW4"))="ZW4"</formula>
    </cfRule>
    <cfRule type="beginsWith" dxfId="2690" priority="3056" operator="beginsWith" text="ZW2">
      <formula>LEFT(G42,LEN("ZW2"))="ZW2"</formula>
    </cfRule>
    <cfRule type="beginsWith" dxfId="2689" priority="3058" operator="beginsWith" text="ZW0">
      <formula>LEFT(G42,LEN("ZW0"))="ZW0"</formula>
    </cfRule>
    <cfRule type="beginsWith" dxfId="2688" priority="3060" operator="beginsWith" text="EW5">
      <formula>LEFT(G42,LEN("EW5"))="EW5"</formula>
    </cfRule>
    <cfRule type="beginsWith" dxfId="2687" priority="3062" operator="beginsWith" text="EW3">
      <formula>LEFT(G42,LEN("EW3"))="EW3"</formula>
    </cfRule>
    <cfRule type="beginsWith" dxfId="2686" priority="3064" operator="beginsWith" text="EW1">
      <formula>LEFT(G42,LEN("EW1"))="EW1"</formula>
    </cfRule>
    <cfRule type="beginsWith" dxfId="2685" priority="3066" operator="beginsWith" text="TL-AS">
      <formula>LEFT(G42,LEN("TL-AS"))="TL-AS"</formula>
    </cfRule>
    <cfRule type="beginsWith" dxfId="2684" priority="3068" operator="beginsWith" text="TL">
      <formula>LEFT(G42,LEN("TL"))="TL"</formula>
    </cfRule>
    <cfRule type="beginsWith" dxfId="2683" priority="3070" operator="beginsWith" text="AF">
      <formula>LEFT(G42,LEN("AF"))="AF"</formula>
    </cfRule>
    <cfRule type="beginsWith" dxfId="2682" priority="3072" operator="beginsWith" text="M-DG">
      <formula>LEFT(G42,LEN("M-DG"))="M-DG"</formula>
    </cfRule>
    <cfRule type="beginsWith" dxfId="2681" priority="3074" operator="beginsWith" text="M-Kde">
      <formula>LEFT(G42,LEN("M-Kde"))="M-Kde"</formula>
    </cfRule>
  </conditionalFormatting>
  <conditionalFormatting sqref="G42:H42 L42:NJ42">
    <cfRule type="beginsWith" dxfId="2680" priority="2998" operator="beginsWith" text="M">
      <formula>LEFT(G42,LEN("M"))="M"</formula>
    </cfRule>
  </conditionalFormatting>
  <conditionalFormatting sqref="G42:H42 L42:NJ42">
    <cfRule type="beginsWith" dxfId="2679" priority="2997" operator="beginsWith" text="Is-MB">
      <formula>LEFT(G42,LEN("Is-MB"))="Is-MB"</formula>
    </cfRule>
  </conditionalFormatting>
  <conditionalFormatting sqref="G42:H42 L42:NJ42">
    <cfRule type="beginsWith" dxfId="2678" priority="2996" operator="beginsWith" text="Y">
      <formula>LEFT(G42,LEN("Y"))="Y"</formula>
    </cfRule>
  </conditionalFormatting>
  <conditionalFormatting sqref="G42:H42 L42:NJ42">
    <cfRule type="beginsWith" dxfId="2677" priority="2995" operator="beginsWith" text="M-FP">
      <formula>LEFT(G42,LEN("M-FP"))="M-FP"</formula>
    </cfRule>
  </conditionalFormatting>
  <conditionalFormatting sqref="G42:H42 L42:NJ42">
    <cfRule type="beginsWith" dxfId="2676" priority="2994" operator="beginsWith" text="ME">
      <formula>LEFT(G42,LEN("ME"))="ME"</formula>
    </cfRule>
  </conditionalFormatting>
  <conditionalFormatting sqref="G42:H42 L42:NJ42">
    <cfRule type="beginsWith" dxfId="2675" priority="2993" operator="beginsWith" text="ME-TL">
      <formula>LEFT(G42,LEN("ME-TL"))="ME-TL"</formula>
    </cfRule>
  </conditionalFormatting>
  <conditionalFormatting sqref="G42:H42 L42:NJ42">
    <cfRule type="beginsWith" dxfId="2674" priority="2992" operator="beginsWith" text="M-W">
      <formula>LEFT(G42,LEN("M-W"))="M-W"</formula>
    </cfRule>
  </conditionalFormatting>
  <conditionalFormatting sqref="A42:E42">
    <cfRule type="expression" dxfId="2673" priority="3076">
      <formula>IF(AND($A42=$A43,#REF!=#REF!,$B42=$B43),0,1)</formula>
    </cfRule>
  </conditionalFormatting>
  <conditionalFormatting sqref="A42:E42">
    <cfRule type="expression" dxfId="2672" priority="3077">
      <formula>$F42="--"</formula>
    </cfRule>
  </conditionalFormatting>
  <conditionalFormatting sqref="A42:E42">
    <cfRule type="expression" dxfId="2671" priority="3078">
      <formula>$F42="-"</formula>
    </cfRule>
  </conditionalFormatting>
  <conditionalFormatting sqref="G46:H46 L46:NJ46">
    <cfRule type="expression" dxfId="2670" priority="2912">
      <formula>$F46="-"</formula>
    </cfRule>
    <cfRule type="expression" dxfId="2669" priority="2914">
      <formula>G$3=$PQ46</formula>
    </cfRule>
    <cfRule type="expression" dxfId="2668" priority="2916">
      <formula>G$3=$PO46</formula>
    </cfRule>
    <cfRule type="expression" dxfId="2667" priority="2918">
      <formula>G$3=$PM46</formula>
    </cfRule>
    <cfRule type="expression" dxfId="2666" priority="2920">
      <formula>IF(AND(RIGHT(G46,1)=".",LEFT(G46,2)&lt;&gt;"T1",LEFT(G46,2)&lt;&gt;"T2",LEFT(G46,2)&lt;&gt;"T3",LEFT(G46,2)&lt;&gt;"T4",LEFT(G46,2)&lt;&gt;"T5",LEFT(G46,2)&lt;&gt;"T6",LEFT(G46,2)&lt;&gt;"T7",LEFT(G46,2)&lt;&gt;"T8",LEFT(G46,2)&lt;&gt;"T9"),1,0)</formula>
    </cfRule>
    <cfRule type="expression" dxfId="2665" priority="2922">
      <formula>IF($C46&gt;0,IF(G$4=7,1,0),0)</formula>
    </cfRule>
    <cfRule type="expression" dxfId="2664" priority="2924">
      <formula>$C46&gt;0</formula>
    </cfRule>
    <cfRule type="expression" dxfId="2663" priority="2926">
      <formula>IF(OR(G46="T1.",G46="T2.",G46="T3.",G46="T4.",G46="T5.",G46="T6.",G46="T7.",G46="T8.",G46="T9."),1,0)</formula>
    </cfRule>
    <cfRule type="endsWith" dxfId="2662" priority="2928" operator="endsWith" text="_A">
      <formula>RIGHT(G46,LEN("_A"))="_A"</formula>
    </cfRule>
    <cfRule type="endsWith" dxfId="2661" priority="2930" operator="endsWith" text="_e">
      <formula>RIGHT(G46,LEN("_e"))="_e"</formula>
    </cfRule>
    <cfRule type="beginsWith" dxfId="2660" priority="2932" operator="beginsWith" text="ME-TL-AS">
      <formula>LEFT(G46,LEN("ME-TL-AS"))="ME-TL-AS"</formula>
    </cfRule>
    <cfRule type="beginsWith" dxfId="2659" priority="2934" operator="beginsWith" text="T-AS">
      <formula>LEFT(G46,LEN("T-AS"))="T-AS"</formula>
    </cfRule>
    <cfRule type="beginsWith" dxfId="2658" priority="2936" operator="beginsWith" text="M-KL">
      <formula>LEFT(G46,LEN("M-KL"))="M-KL"</formula>
    </cfRule>
    <cfRule type="beginsWith" dxfId="2657" priority="2938" operator="beginsWith" text="Ss">
      <formula>LEFT(G46,LEN("Ss"))="Ss"</formula>
    </cfRule>
    <cfRule type="beginsWith" dxfId="2656" priority="2940" operator="beginsWith" text="AC">
      <formula>LEFT(G46,LEN("AC"))="AC"</formula>
    </cfRule>
    <cfRule type="beginsWith" dxfId="2655" priority="2942" operator="beginsWith" text="TT">
      <formula>LEFT(G46,LEN("TT"))="TT"</formula>
    </cfRule>
    <cfRule type="beginsWith" dxfId="2654" priority="2944" operator="beginsWith" text="S">
      <formula>LEFT(G46,LEN("S"))="S"</formula>
    </cfRule>
    <cfRule type="beginsWith" dxfId="2653" priority="2946" operator="beginsWith" text="PK">
      <formula>LEFT(G46,LEN("PK"))="PK"</formula>
    </cfRule>
    <cfRule type="beginsWith" dxfId="2652" priority="2948" operator="beginsWith" text="W">
      <formula>LEFT(G46,LEN("W"))="W"</formula>
    </cfRule>
    <cfRule type="beginsWith" dxfId="2651" priority="2950" operator="beginsWith" text="Id">
      <formula>LEFT(G46,LEN("Id"))="Id"</formula>
    </cfRule>
    <cfRule type="beginsWith" dxfId="2650" priority="2952" operator="beginsWith" text="K">
      <formula>LEFT(G46,LEN("K"))="K"</formula>
    </cfRule>
    <cfRule type="beginsWith" dxfId="2649" priority="2954" operator="beginsWith" text="Is-ME">
      <formula>LEFT(G46,LEN("Is-ME"))="Is-ME"</formula>
    </cfRule>
    <cfRule type="beginsWith" dxfId="2648" priority="2956" operator="beginsWith" text="Is-Fe">
      <formula>LEFT(G46,LEN("Is-Fe"))="Is-Fe"</formula>
    </cfRule>
    <cfRule type="beginsWith" dxfId="2647" priority="2958" operator="beginsWith" text="Is">
      <formula>LEFT(G46,LEN("Is"))="Is"</formula>
    </cfRule>
    <cfRule type="beginsWith" dxfId="2646" priority="2960" operator="beginsWith" text="T">
      <formula>LEFT(G46,LEN("T"))="T"</formula>
    </cfRule>
    <cfRule type="beginsWith" dxfId="2645" priority="2962" operator="beginsWith" text="Mg">
      <formula>LEFT(G46,LEN("Mg"))="Mg"</formula>
    </cfRule>
    <cfRule type="beginsWith" dxfId="2644" priority="2964" operator="beginsWith" text="VM">
      <formula>LEFT(G46,LEN("VM"))="VM"</formula>
    </cfRule>
    <cfRule type="beginsWith" dxfId="2643" priority="2966" operator="beginsWith" text="ZW5">
      <formula>LEFT(G46,LEN("ZW5"))="ZW5"</formula>
    </cfRule>
    <cfRule type="beginsWith" dxfId="2642" priority="2968" operator="beginsWith" text="ZW3">
      <formula>LEFT(G46,LEN("ZW3"))="ZW3"</formula>
    </cfRule>
    <cfRule type="beginsWith" dxfId="2641" priority="2970" operator="beginsWith" text="ZW1">
      <formula>LEFT(G46,LEN("ZW1"))="ZW1"</formula>
    </cfRule>
    <cfRule type="beginsWith" dxfId="2640" priority="2972" operator="beginsWith" text="EW6">
      <formula>LEFT(G46,LEN("EW6"))="EW6"</formula>
    </cfRule>
    <cfRule type="beginsWith" dxfId="2639" priority="2974" operator="beginsWith" text="EW4">
      <formula>LEFT(G46,LEN("EW4"))="EW4"</formula>
    </cfRule>
    <cfRule type="beginsWith" dxfId="2638" priority="2976" operator="beginsWith" text="EW2">
      <formula>LEFT(G46,LEN("EW2"))="EW2"</formula>
    </cfRule>
    <cfRule type="beginsWith" dxfId="2637" priority="2978" operator="beginsWith" text="M-AS">
      <formula>LEFT(G46,LEN("M-AS"))="M-AS"</formula>
    </cfRule>
    <cfRule type="beginsWith" dxfId="2636" priority="2980" operator="beginsWith" text="TLP">
      <formula>LEFT(G46,LEN("TLP"))="TLP"</formula>
    </cfRule>
    <cfRule type="beginsWith" dxfId="2635" priority="2982" operator="beginsWith" text="US">
      <formula>LEFT(G46,LEN("US"))="US"</formula>
    </cfRule>
    <cfRule type="beginsWith" dxfId="2634" priority="2984" operator="beginsWith" text="AS">
      <formula>LEFT(G46,LEN("AS"))="AS"</formula>
    </cfRule>
    <cfRule type="beginsWith" dxfId="2633" priority="2986" operator="beginsWith" text="M-iW">
      <formula>LEFT(G46,LEN("M-iW"))="M-iW"</formula>
    </cfRule>
    <cfRule type="beginsWith" dxfId="2632" priority="2988" operator="beginsWith" text="MB">
      <formula>LEFT(G46,LEN("MB"))="MB"</formula>
    </cfRule>
  </conditionalFormatting>
  <conditionalFormatting sqref="G46:H46 L46:NJ46">
    <cfRule type="expression" dxfId="2631" priority="2913">
      <formula>$F46="--"</formula>
    </cfRule>
    <cfRule type="expression" dxfId="2630" priority="2915">
      <formula>G$3=$PP46</formula>
    </cfRule>
    <cfRule type="expression" dxfId="2629" priority="2917">
      <formula>G$3=$PN46</formula>
    </cfRule>
    <cfRule type="expression" dxfId="2628" priority="2919">
      <formula>G$3=$PL46</formula>
    </cfRule>
    <cfRule type="expression" dxfId="2627" priority="2921">
      <formula>IF(G46=0,IF(OR(G$4=6,G$4=7,G$5=1),1,0),0)</formula>
    </cfRule>
    <cfRule type="expression" dxfId="2626" priority="2923">
      <formula>IF($C46&gt;0,IF(G$4=1,1,0),0)</formula>
    </cfRule>
    <cfRule type="expression" dxfId="2625" priority="2925">
      <formula>IF(OR(G46="T1..",G46="T2..",G46="T3..",G46="T4..",G46="T5..",G46="T6..",G46="T7..",G46="T8..",G46="T9.."),1,0)</formula>
    </cfRule>
    <cfRule type="expression" dxfId="2624" priority="2927">
      <formula>IF(OR(G46="T1",G46="T2",G46="T3",G46="T4",G46="T5",G46="T6",G46="T7",G46="T8",G46="T9"),1,0)</formula>
    </cfRule>
    <cfRule type="endsWith" dxfId="2623" priority="2929" operator="endsWith" text="_x">
      <formula>RIGHT(G46,LEN("_x"))="_x"</formula>
    </cfRule>
    <cfRule type="beginsWith" dxfId="2622" priority="2931" operator="beginsWith" text="AS-TL">
      <formula>LEFT(G46,LEN("AS-TL"))="AS-TL"</formula>
    </cfRule>
    <cfRule type="beginsWith" dxfId="2621" priority="2933" operator="beginsWith" text="tbs">
      <formula>LEFT(G46,LEN("tbs"))="tbs"</formula>
    </cfRule>
    <cfRule type="beginsWith" dxfId="2620" priority="2935" operator="beginsWith" text="TL-AS">
      <formula>LEFT(G46,LEN("TL-AS"))="TL-AS"</formula>
    </cfRule>
    <cfRule type="beginsWith" dxfId="2619" priority="2937" operator="beginsWith" text="L">
      <formula>LEFT(G46,LEN("L"))="L"</formula>
    </cfRule>
    <cfRule type="beginsWith" dxfId="2618" priority="2939" operator="beginsWith" text="DC">
      <formula>LEFT(G46,LEN("DC"))="DC"</formula>
    </cfRule>
    <cfRule type="beginsWith" dxfId="2617" priority="2941" operator="beginsWith" text="FP">
      <formula>LEFT(G46,LEN("FP"))="FP"</formula>
    </cfRule>
    <cfRule type="beginsWith" dxfId="2616" priority="2943" operator="beginsWith" text="M-TT">
      <formula>LEFT(G46,LEN("M-TT"))="M-TT"</formula>
    </cfRule>
    <cfRule type="beginsWith" dxfId="2615" priority="2945" operator="beginsWith" text="Ü">
      <formula>LEFT(G46,LEN("Ü"))="Ü"</formula>
    </cfRule>
    <cfRule type="beginsWith" dxfId="2614" priority="2947" operator="beginsWith" text="iW">
      <formula>LEFT(G46,LEN("iW"))="iW"</formula>
    </cfRule>
    <cfRule type="beginsWith" dxfId="2613" priority="2949" operator="beginsWith" text="D">
      <formula>LEFT(G46,LEN("D"))="D"</formula>
    </cfRule>
    <cfRule type="beginsWith" dxfId="2612" priority="2951" operator="beginsWith" text="Kde">
      <formula>LEFT(G46,LEN("Kde"))="Kde"</formula>
    </cfRule>
    <cfRule type="beginsWith" dxfId="2611" priority="2953" operator="beginsWith" text="P">
      <formula>LEFT(G46,LEN("P"))="P"</formula>
    </cfRule>
    <cfRule type="beginsWith" dxfId="2610" priority="2955" operator="beginsWith" text="Is-M">
      <formula>LEFT(G46,LEN("Is-M"))="Is-M"</formula>
    </cfRule>
    <cfRule type="beginsWith" dxfId="2609" priority="2957" operator="beginsWith" text="Is-Id">
      <formula>LEFT(G46,LEN("Is-Id"))="Is-Id"</formula>
    </cfRule>
    <cfRule type="beginsWith" dxfId="2608" priority="2959" operator="beginsWith" text="M-Is">
      <formula>LEFT(G46,LEN("M-Is"))="M-Is"</formula>
    </cfRule>
    <cfRule type="beginsWith" dxfId="2607" priority="2961" operator="beginsWith" text="M-Fe">
      <formula>LEFT(G46,LEN("M-Fe"))="M-Fe"</formula>
    </cfRule>
    <cfRule type="beginsWith" dxfId="2606" priority="2963" operator="beginsWith" text="M-TP">
      <formula>LEFT(G46,LEN("M-TP"))="M-TP"</formula>
    </cfRule>
    <cfRule type="beginsWith" dxfId="2605" priority="2965" operator="beginsWith" text="ZW6">
      <formula>LEFT(G46,LEN("ZW6"))="ZW6"</formula>
    </cfRule>
    <cfRule type="beginsWith" dxfId="2604" priority="2967" operator="beginsWith" text="ZW4">
      <formula>LEFT(G46,LEN("ZW4"))="ZW4"</formula>
    </cfRule>
    <cfRule type="beginsWith" dxfId="2603" priority="2969" operator="beginsWith" text="ZW2">
      <formula>LEFT(G46,LEN("ZW2"))="ZW2"</formula>
    </cfRule>
    <cfRule type="beginsWith" dxfId="2602" priority="2971" operator="beginsWith" text="ZW0">
      <formula>LEFT(G46,LEN("ZW0"))="ZW0"</formula>
    </cfRule>
    <cfRule type="beginsWith" dxfId="2601" priority="2973" operator="beginsWith" text="EW5">
      <formula>LEFT(G46,LEN("EW5"))="EW5"</formula>
    </cfRule>
    <cfRule type="beginsWith" dxfId="2600" priority="2975" operator="beginsWith" text="EW3">
      <formula>LEFT(G46,LEN("EW3"))="EW3"</formula>
    </cfRule>
    <cfRule type="beginsWith" dxfId="2599" priority="2977" operator="beginsWith" text="EW1">
      <formula>LEFT(G46,LEN("EW1"))="EW1"</formula>
    </cfRule>
    <cfRule type="beginsWith" dxfId="2598" priority="2979" operator="beginsWith" text="TL-AS">
      <formula>LEFT(G46,LEN("TL-AS"))="TL-AS"</formula>
    </cfRule>
    <cfRule type="beginsWith" dxfId="2597" priority="2981" operator="beginsWith" text="TL">
      <formula>LEFT(G46,LEN("TL"))="TL"</formula>
    </cfRule>
    <cfRule type="beginsWith" dxfId="2596" priority="2983" operator="beginsWith" text="AF">
      <formula>LEFT(G46,LEN("AF"))="AF"</formula>
    </cfRule>
    <cfRule type="beginsWith" dxfId="2595" priority="2985" operator="beginsWith" text="M-DG">
      <formula>LEFT(G46,LEN("M-DG"))="M-DG"</formula>
    </cfRule>
    <cfRule type="beginsWith" dxfId="2594" priority="2987" operator="beginsWith" text="M-Kde">
      <formula>LEFT(G46,LEN("M-Kde"))="M-Kde"</formula>
    </cfRule>
  </conditionalFormatting>
  <conditionalFormatting sqref="G46:H46 L46:NJ46">
    <cfRule type="beginsWith" dxfId="2593" priority="2911" operator="beginsWith" text="M">
      <formula>LEFT(G46,LEN("M"))="M"</formula>
    </cfRule>
  </conditionalFormatting>
  <conditionalFormatting sqref="G46:H46 L46:NJ46">
    <cfRule type="beginsWith" dxfId="2592" priority="2910" operator="beginsWith" text="Is-MB">
      <formula>LEFT(G46,LEN("Is-MB"))="Is-MB"</formula>
    </cfRule>
  </conditionalFormatting>
  <conditionalFormatting sqref="G46:H46 L46:NJ46">
    <cfRule type="beginsWith" dxfId="2591" priority="2909" operator="beginsWith" text="Y">
      <formula>LEFT(G46,LEN("Y"))="Y"</formula>
    </cfRule>
  </conditionalFormatting>
  <conditionalFormatting sqref="G46:H46 L46:NJ46">
    <cfRule type="beginsWith" dxfId="2590" priority="2908" operator="beginsWith" text="M-FP">
      <formula>LEFT(G46,LEN("M-FP"))="M-FP"</formula>
    </cfRule>
  </conditionalFormatting>
  <conditionalFormatting sqref="G46:H46 L46:NJ46">
    <cfRule type="beginsWith" dxfId="2589" priority="2907" operator="beginsWith" text="ME">
      <formula>LEFT(G46,LEN("ME"))="ME"</formula>
    </cfRule>
  </conditionalFormatting>
  <conditionalFormatting sqref="G46:H46 L46:NJ46">
    <cfRule type="beginsWith" dxfId="2588" priority="2906" operator="beginsWith" text="ME-TL">
      <formula>LEFT(G46,LEN("ME-TL"))="ME-TL"</formula>
    </cfRule>
  </conditionalFormatting>
  <conditionalFormatting sqref="G46:H46 L46:NJ46">
    <cfRule type="beginsWith" dxfId="2587" priority="2905" operator="beginsWith" text="M-W">
      <formula>LEFT(G46,LEN("M-W"))="M-W"</formula>
    </cfRule>
  </conditionalFormatting>
  <conditionalFormatting sqref="A46:E46">
    <cfRule type="expression" dxfId="2586" priority="2989">
      <formula>IF(AND($A46=$A47,#REF!=#REF!,$B46=$B47),0,1)</formula>
    </cfRule>
  </conditionalFormatting>
  <conditionalFormatting sqref="A46:E46">
    <cfRule type="expression" dxfId="2585" priority="2990">
      <formula>$F46="--"</formula>
    </cfRule>
  </conditionalFormatting>
  <conditionalFormatting sqref="A46:E46">
    <cfRule type="expression" dxfId="2584" priority="2991">
      <formula>$F46="-"</formula>
    </cfRule>
  </conditionalFormatting>
  <conditionalFormatting sqref="O50:NJ50">
    <cfRule type="expression" dxfId="2583" priority="2825">
      <formula>$F50="-"</formula>
    </cfRule>
    <cfRule type="expression" dxfId="2582" priority="2827">
      <formula>O$3=$PQ50</formula>
    </cfRule>
    <cfRule type="expression" dxfId="2581" priority="2829">
      <formula>O$3=$PO50</formula>
    </cfRule>
    <cfRule type="expression" dxfId="2580" priority="2831">
      <formula>O$3=$PM50</formula>
    </cfRule>
    <cfRule type="expression" dxfId="2579" priority="2833">
      <formula>IF(AND(RIGHT(O50,1)=".",LEFT(O50,2)&lt;&gt;"T1",LEFT(O50,2)&lt;&gt;"T2",LEFT(O50,2)&lt;&gt;"T3",LEFT(O50,2)&lt;&gt;"T4",LEFT(O50,2)&lt;&gt;"T5",LEFT(O50,2)&lt;&gt;"T6",LEFT(O50,2)&lt;&gt;"T7",LEFT(O50,2)&lt;&gt;"T8",LEFT(O50,2)&lt;&gt;"T9"),1,0)</formula>
    </cfRule>
    <cfRule type="expression" dxfId="2578" priority="2835">
      <formula>IF($C50&gt;0,IF(O$4=7,1,0),0)</formula>
    </cfRule>
    <cfRule type="expression" dxfId="2577" priority="2837">
      <formula>$C50&gt;0</formula>
    </cfRule>
    <cfRule type="expression" dxfId="2576" priority="2839">
      <formula>IF(OR(O50="T1.",O50="T2.",O50="T3.",O50="T4.",O50="T5.",O50="T6.",O50="T7.",O50="T8.",O50="T9."),1,0)</formula>
    </cfRule>
    <cfRule type="endsWith" dxfId="2575" priority="2841" operator="endsWith" text="_A">
      <formula>RIGHT(O50,LEN("_A"))="_A"</formula>
    </cfRule>
    <cfRule type="endsWith" dxfId="2574" priority="2843" operator="endsWith" text="_e">
      <formula>RIGHT(O50,LEN("_e"))="_e"</formula>
    </cfRule>
    <cfRule type="beginsWith" dxfId="2573" priority="2845" operator="beginsWith" text="ME-TL-AS">
      <formula>LEFT(O50,LEN("ME-TL-AS"))="ME-TL-AS"</formula>
    </cfRule>
    <cfRule type="beginsWith" dxfId="2572" priority="2847" operator="beginsWith" text="T-AS">
      <formula>LEFT(O50,LEN("T-AS"))="T-AS"</formula>
    </cfRule>
    <cfRule type="beginsWith" dxfId="2571" priority="2849" operator="beginsWith" text="M-KL">
      <formula>LEFT(O50,LEN("M-KL"))="M-KL"</formula>
    </cfRule>
    <cfRule type="beginsWith" dxfId="2570" priority="2851" operator="beginsWith" text="Ss">
      <formula>LEFT(O50,LEN("Ss"))="Ss"</formula>
    </cfRule>
    <cfRule type="beginsWith" dxfId="2569" priority="2853" operator="beginsWith" text="AC">
      <formula>LEFT(O50,LEN("AC"))="AC"</formula>
    </cfRule>
    <cfRule type="beginsWith" dxfId="2568" priority="2855" operator="beginsWith" text="TT">
      <formula>LEFT(O50,LEN("TT"))="TT"</formula>
    </cfRule>
    <cfRule type="beginsWith" dxfId="2567" priority="2857" operator="beginsWith" text="S">
      <formula>LEFT(O50,LEN("S"))="S"</formula>
    </cfRule>
    <cfRule type="beginsWith" dxfId="2566" priority="2859" operator="beginsWith" text="PK">
      <formula>LEFT(O50,LEN("PK"))="PK"</formula>
    </cfRule>
    <cfRule type="beginsWith" dxfId="2565" priority="2861" operator="beginsWith" text="W">
      <formula>LEFT(O50,LEN("W"))="W"</formula>
    </cfRule>
    <cfRule type="beginsWith" dxfId="2564" priority="2863" operator="beginsWith" text="Id">
      <formula>LEFT(O50,LEN("Id"))="Id"</formula>
    </cfRule>
    <cfRule type="beginsWith" dxfId="2563" priority="2865" operator="beginsWith" text="K">
      <formula>LEFT(O50,LEN("K"))="K"</formula>
    </cfRule>
    <cfRule type="beginsWith" dxfId="2562" priority="2867" operator="beginsWith" text="Is-ME">
      <formula>LEFT(O50,LEN("Is-ME"))="Is-ME"</formula>
    </cfRule>
    <cfRule type="beginsWith" dxfId="2561" priority="2869" operator="beginsWith" text="Is-Fe">
      <formula>LEFT(O50,LEN("Is-Fe"))="Is-Fe"</formula>
    </cfRule>
    <cfRule type="beginsWith" dxfId="2560" priority="2871" operator="beginsWith" text="Is">
      <formula>LEFT(O50,LEN("Is"))="Is"</formula>
    </cfRule>
    <cfRule type="beginsWith" dxfId="2559" priority="2873" operator="beginsWith" text="T">
      <formula>LEFT(O50,LEN("T"))="T"</formula>
    </cfRule>
    <cfRule type="beginsWith" dxfId="2558" priority="2875" operator="beginsWith" text="Mg">
      <formula>LEFT(O50,LEN("Mg"))="Mg"</formula>
    </cfRule>
    <cfRule type="beginsWith" dxfId="2557" priority="2877" operator="beginsWith" text="VM">
      <formula>LEFT(O50,LEN("VM"))="VM"</formula>
    </cfRule>
    <cfRule type="beginsWith" dxfId="2556" priority="2879" operator="beginsWith" text="ZW5">
      <formula>LEFT(O50,LEN("ZW5"))="ZW5"</formula>
    </cfRule>
    <cfRule type="beginsWith" dxfId="2555" priority="2881" operator="beginsWith" text="ZW3">
      <formula>LEFT(O50,LEN("ZW3"))="ZW3"</formula>
    </cfRule>
    <cfRule type="beginsWith" dxfId="2554" priority="2883" operator="beginsWith" text="ZW1">
      <formula>LEFT(O50,LEN("ZW1"))="ZW1"</formula>
    </cfRule>
    <cfRule type="beginsWith" dxfId="2553" priority="2885" operator="beginsWith" text="EW6">
      <formula>LEFT(O50,LEN("EW6"))="EW6"</formula>
    </cfRule>
    <cfRule type="beginsWith" dxfId="2552" priority="2887" operator="beginsWith" text="EW4">
      <formula>LEFT(O50,LEN("EW4"))="EW4"</formula>
    </cfRule>
    <cfRule type="beginsWith" dxfId="2551" priority="2889" operator="beginsWith" text="EW2">
      <formula>LEFT(O50,LEN("EW2"))="EW2"</formula>
    </cfRule>
    <cfRule type="beginsWith" dxfId="2550" priority="2891" operator="beginsWith" text="M-AS">
      <formula>LEFT(O50,LEN("M-AS"))="M-AS"</formula>
    </cfRule>
    <cfRule type="beginsWith" dxfId="2549" priority="2893" operator="beginsWith" text="TLP">
      <formula>LEFT(O50,LEN("TLP"))="TLP"</formula>
    </cfRule>
    <cfRule type="beginsWith" dxfId="2548" priority="2895" operator="beginsWith" text="US">
      <formula>LEFT(O50,LEN("US"))="US"</formula>
    </cfRule>
    <cfRule type="beginsWith" dxfId="2547" priority="2897" operator="beginsWith" text="AS">
      <formula>LEFT(O50,LEN("AS"))="AS"</formula>
    </cfRule>
    <cfRule type="beginsWith" dxfId="2546" priority="2899" operator="beginsWith" text="M-iW">
      <formula>LEFT(O50,LEN("M-iW"))="M-iW"</formula>
    </cfRule>
    <cfRule type="beginsWith" dxfId="2545" priority="2901" operator="beginsWith" text="MB">
      <formula>LEFT(O50,LEN("MB"))="MB"</formula>
    </cfRule>
  </conditionalFormatting>
  <conditionalFormatting sqref="O50:NJ50">
    <cfRule type="expression" dxfId="2544" priority="2826">
      <formula>$F50="--"</formula>
    </cfRule>
    <cfRule type="expression" dxfId="2543" priority="2828">
      <formula>O$3=$PP50</formula>
    </cfRule>
    <cfRule type="expression" dxfId="2542" priority="2830">
      <formula>O$3=$PN50</formula>
    </cfRule>
    <cfRule type="expression" dxfId="2541" priority="2832">
      <formula>O$3=$PL50</formula>
    </cfRule>
    <cfRule type="expression" dxfId="2540" priority="2834">
      <formula>IF(O50=0,IF(OR(O$4=6,O$4=7,O$5=1),1,0),0)</formula>
    </cfRule>
    <cfRule type="expression" dxfId="2539" priority="2836">
      <formula>IF($C50&gt;0,IF(O$4=1,1,0),0)</formula>
    </cfRule>
    <cfRule type="expression" dxfId="2538" priority="2838">
      <formula>IF(OR(O50="T1..",O50="T2..",O50="T3..",O50="T4..",O50="T5..",O50="T6..",O50="T7..",O50="T8..",O50="T9.."),1,0)</formula>
    </cfRule>
    <cfRule type="expression" dxfId="2537" priority="2840">
      <formula>IF(OR(O50="T1",O50="T2",O50="T3",O50="T4",O50="T5",O50="T6",O50="T7",O50="T8",O50="T9"),1,0)</formula>
    </cfRule>
    <cfRule type="endsWith" dxfId="2536" priority="2842" operator="endsWith" text="_x">
      <formula>RIGHT(O50,LEN("_x"))="_x"</formula>
    </cfRule>
    <cfRule type="beginsWith" dxfId="2535" priority="2844" operator="beginsWith" text="AS-TL">
      <formula>LEFT(O50,LEN("AS-TL"))="AS-TL"</formula>
    </cfRule>
    <cfRule type="beginsWith" dxfId="2534" priority="2846" operator="beginsWith" text="tbs">
      <formula>LEFT(O50,LEN("tbs"))="tbs"</formula>
    </cfRule>
    <cfRule type="beginsWith" dxfId="2533" priority="2848" operator="beginsWith" text="TL-AS">
      <formula>LEFT(O50,LEN("TL-AS"))="TL-AS"</formula>
    </cfRule>
    <cfRule type="beginsWith" dxfId="2532" priority="2850" operator="beginsWith" text="L">
      <formula>LEFT(O50,LEN("L"))="L"</formula>
    </cfRule>
    <cfRule type="beginsWith" dxfId="2531" priority="2852" operator="beginsWith" text="DC">
      <formula>LEFT(O50,LEN("DC"))="DC"</formula>
    </cfRule>
    <cfRule type="beginsWith" dxfId="2530" priority="2854" operator="beginsWith" text="FP">
      <formula>LEFT(O50,LEN("FP"))="FP"</formula>
    </cfRule>
    <cfRule type="beginsWith" dxfId="2529" priority="2856" operator="beginsWith" text="M-TT">
      <formula>LEFT(O50,LEN("M-TT"))="M-TT"</formula>
    </cfRule>
    <cfRule type="beginsWith" dxfId="2528" priority="2858" operator="beginsWith" text="Ü">
      <formula>LEFT(O50,LEN("Ü"))="Ü"</formula>
    </cfRule>
    <cfRule type="beginsWith" dxfId="2527" priority="2860" operator="beginsWith" text="iW">
      <formula>LEFT(O50,LEN("iW"))="iW"</formula>
    </cfRule>
    <cfRule type="beginsWith" dxfId="2526" priority="2862" operator="beginsWith" text="D">
      <formula>LEFT(O50,LEN("D"))="D"</formula>
    </cfRule>
    <cfRule type="beginsWith" dxfId="2525" priority="2864" operator="beginsWith" text="Kde">
      <formula>LEFT(O50,LEN("Kde"))="Kde"</formula>
    </cfRule>
    <cfRule type="beginsWith" dxfId="2524" priority="2866" operator="beginsWith" text="P">
      <formula>LEFT(O50,LEN("P"))="P"</formula>
    </cfRule>
    <cfRule type="beginsWith" dxfId="2523" priority="2868" operator="beginsWith" text="Is-M">
      <formula>LEFT(O50,LEN("Is-M"))="Is-M"</formula>
    </cfRule>
    <cfRule type="beginsWith" dxfId="2522" priority="2870" operator="beginsWith" text="Is-Id">
      <formula>LEFT(O50,LEN("Is-Id"))="Is-Id"</formula>
    </cfRule>
    <cfRule type="beginsWith" dxfId="2521" priority="2872" operator="beginsWith" text="M-Is">
      <formula>LEFT(O50,LEN("M-Is"))="M-Is"</formula>
    </cfRule>
    <cfRule type="beginsWith" dxfId="2520" priority="2874" operator="beginsWith" text="M-Fe">
      <formula>LEFT(O50,LEN("M-Fe"))="M-Fe"</formula>
    </cfRule>
    <cfRule type="beginsWith" dxfId="2519" priority="2876" operator="beginsWith" text="M-TP">
      <formula>LEFT(O50,LEN("M-TP"))="M-TP"</formula>
    </cfRule>
    <cfRule type="beginsWith" dxfId="2518" priority="2878" operator="beginsWith" text="ZW6">
      <formula>LEFT(O50,LEN("ZW6"))="ZW6"</formula>
    </cfRule>
    <cfRule type="beginsWith" dxfId="2517" priority="2880" operator="beginsWith" text="ZW4">
      <formula>LEFT(O50,LEN("ZW4"))="ZW4"</formula>
    </cfRule>
    <cfRule type="beginsWith" dxfId="2516" priority="2882" operator="beginsWith" text="ZW2">
      <formula>LEFT(O50,LEN("ZW2"))="ZW2"</formula>
    </cfRule>
    <cfRule type="beginsWith" dxfId="2515" priority="2884" operator="beginsWith" text="ZW0">
      <formula>LEFT(O50,LEN("ZW0"))="ZW0"</formula>
    </cfRule>
    <cfRule type="beginsWith" dxfId="2514" priority="2886" operator="beginsWith" text="EW5">
      <formula>LEFT(O50,LEN("EW5"))="EW5"</formula>
    </cfRule>
    <cfRule type="beginsWith" dxfId="2513" priority="2888" operator="beginsWith" text="EW3">
      <formula>LEFT(O50,LEN("EW3"))="EW3"</formula>
    </cfRule>
    <cfRule type="beginsWith" dxfId="2512" priority="2890" operator="beginsWith" text="EW1">
      <formula>LEFT(O50,LEN("EW1"))="EW1"</formula>
    </cfRule>
    <cfRule type="beginsWith" dxfId="2511" priority="2892" operator="beginsWith" text="TL-AS">
      <formula>LEFT(O50,LEN("TL-AS"))="TL-AS"</formula>
    </cfRule>
    <cfRule type="beginsWith" dxfId="2510" priority="2894" operator="beginsWith" text="TL">
      <formula>LEFT(O50,LEN("TL"))="TL"</formula>
    </cfRule>
    <cfRule type="beginsWith" dxfId="2509" priority="2896" operator="beginsWith" text="AF">
      <formula>LEFT(O50,LEN("AF"))="AF"</formula>
    </cfRule>
    <cfRule type="beginsWith" dxfId="2508" priority="2898" operator="beginsWith" text="M-DG">
      <formula>LEFT(O50,LEN("M-DG"))="M-DG"</formula>
    </cfRule>
    <cfRule type="beginsWith" dxfId="2507" priority="2900" operator="beginsWith" text="M-Kde">
      <formula>LEFT(O50,LEN("M-Kde"))="M-Kde"</formula>
    </cfRule>
  </conditionalFormatting>
  <conditionalFormatting sqref="O50:NJ50">
    <cfRule type="beginsWith" dxfId="2506" priority="2824" operator="beginsWith" text="M">
      <formula>LEFT(O50,LEN("M"))="M"</formula>
    </cfRule>
  </conditionalFormatting>
  <conditionalFormatting sqref="O50:NJ50">
    <cfRule type="beginsWith" dxfId="2505" priority="2823" operator="beginsWith" text="Is-MB">
      <formula>LEFT(O50,LEN("Is-MB"))="Is-MB"</formula>
    </cfRule>
  </conditionalFormatting>
  <conditionalFormatting sqref="O50:NJ50">
    <cfRule type="beginsWith" dxfId="2504" priority="2822" operator="beginsWith" text="Y">
      <formula>LEFT(O50,LEN("Y"))="Y"</formula>
    </cfRule>
  </conditionalFormatting>
  <conditionalFormatting sqref="O50:NJ50">
    <cfRule type="beginsWith" dxfId="2503" priority="2821" operator="beginsWith" text="M-FP">
      <formula>LEFT(O50,LEN("M-FP"))="M-FP"</formula>
    </cfRule>
  </conditionalFormatting>
  <conditionalFormatting sqref="O50:NJ50">
    <cfRule type="beginsWith" dxfId="2502" priority="2820" operator="beginsWith" text="ME">
      <formula>LEFT(O50,LEN("ME"))="ME"</formula>
    </cfRule>
  </conditionalFormatting>
  <conditionalFormatting sqref="O50:NJ50">
    <cfRule type="beginsWith" dxfId="2501" priority="2819" operator="beginsWith" text="ME-TL">
      <formula>LEFT(O50,LEN("ME-TL"))="ME-TL"</formula>
    </cfRule>
  </conditionalFormatting>
  <conditionalFormatting sqref="O50:NJ50">
    <cfRule type="beginsWith" dxfId="2500" priority="2818" operator="beginsWith" text="M-W">
      <formula>LEFT(O50,LEN("M-W"))="M-W"</formula>
    </cfRule>
  </conditionalFormatting>
  <conditionalFormatting sqref="A50:E50">
    <cfRule type="expression" dxfId="2499" priority="2902">
      <formula>IF(AND($A50=$A51,#REF!=#REF!,$B50=$B51),0,1)</formula>
    </cfRule>
  </conditionalFormatting>
  <conditionalFormatting sqref="A50:E50">
    <cfRule type="expression" dxfId="2498" priority="2903">
      <formula>$F50="--"</formula>
    </cfRule>
  </conditionalFormatting>
  <conditionalFormatting sqref="A50:E50">
    <cfRule type="expression" dxfId="2497" priority="2904">
      <formula>$F50="-"</formula>
    </cfRule>
  </conditionalFormatting>
  <conditionalFormatting sqref="G54:NJ54">
    <cfRule type="expression" dxfId="2496" priority="2738">
      <formula>$F54="-"</formula>
    </cfRule>
    <cfRule type="expression" dxfId="2495" priority="2740">
      <formula>G$3=$PQ54</formula>
    </cfRule>
    <cfRule type="expression" dxfId="2494" priority="2742">
      <formula>G$3=$PO54</formula>
    </cfRule>
    <cfRule type="expression" dxfId="2493" priority="2744">
      <formula>G$3=$PM54</formula>
    </cfRule>
    <cfRule type="expression" dxfId="2492" priority="2746">
      <formula>IF(AND(RIGHT(G54,1)=".",LEFT(G54,2)&lt;&gt;"T1",LEFT(G54,2)&lt;&gt;"T2",LEFT(G54,2)&lt;&gt;"T3",LEFT(G54,2)&lt;&gt;"T4",LEFT(G54,2)&lt;&gt;"T5",LEFT(G54,2)&lt;&gt;"T6",LEFT(G54,2)&lt;&gt;"T7",LEFT(G54,2)&lt;&gt;"T8",LEFT(G54,2)&lt;&gt;"T9"),1,0)</formula>
    </cfRule>
    <cfRule type="expression" dxfId="2491" priority="2748">
      <formula>IF($C54&gt;0,IF(G$4=7,1,0),0)</formula>
    </cfRule>
    <cfRule type="expression" dxfId="2490" priority="2750">
      <formula>$C54&gt;0</formula>
    </cfRule>
    <cfRule type="expression" dxfId="2489" priority="2752">
      <formula>IF(OR(G54="T1.",G54="T2.",G54="T3.",G54="T4.",G54="T5.",G54="T6.",G54="T7.",G54="T8.",G54="T9."),1,0)</formula>
    </cfRule>
    <cfRule type="endsWith" dxfId="2488" priority="2754" operator="endsWith" text="_A">
      <formula>RIGHT(G54,LEN("_A"))="_A"</formula>
    </cfRule>
    <cfRule type="endsWith" dxfId="2487" priority="2756" operator="endsWith" text="_e">
      <formula>RIGHT(G54,LEN("_e"))="_e"</formula>
    </cfRule>
    <cfRule type="beginsWith" dxfId="2486" priority="2758" operator="beginsWith" text="ME-TL-AS">
      <formula>LEFT(G54,LEN("ME-TL-AS"))="ME-TL-AS"</formula>
    </cfRule>
    <cfRule type="beginsWith" dxfId="2485" priority="2760" operator="beginsWith" text="T-AS">
      <formula>LEFT(G54,LEN("T-AS"))="T-AS"</formula>
    </cfRule>
    <cfRule type="beginsWith" dxfId="2484" priority="2762" operator="beginsWith" text="M-KL">
      <formula>LEFT(G54,LEN("M-KL"))="M-KL"</formula>
    </cfRule>
    <cfRule type="beginsWith" dxfId="2483" priority="2764" operator="beginsWith" text="Ss">
      <formula>LEFT(G54,LEN("Ss"))="Ss"</formula>
    </cfRule>
    <cfRule type="beginsWith" dxfId="2482" priority="2766" operator="beginsWith" text="AC">
      <formula>LEFT(G54,LEN("AC"))="AC"</formula>
    </cfRule>
    <cfRule type="beginsWith" dxfId="2481" priority="2768" operator="beginsWith" text="TT">
      <formula>LEFT(G54,LEN("TT"))="TT"</formula>
    </cfRule>
    <cfRule type="beginsWith" dxfId="2480" priority="2770" operator="beginsWith" text="S">
      <formula>LEFT(G54,LEN("S"))="S"</formula>
    </cfRule>
    <cfRule type="beginsWith" dxfId="2479" priority="2772" operator="beginsWith" text="PK">
      <formula>LEFT(G54,LEN("PK"))="PK"</formula>
    </cfRule>
    <cfRule type="beginsWith" dxfId="2478" priority="2774" operator="beginsWith" text="W">
      <formula>LEFT(G54,LEN("W"))="W"</formula>
    </cfRule>
    <cfRule type="beginsWith" dxfId="2477" priority="2776" operator="beginsWith" text="Id">
      <formula>LEFT(G54,LEN("Id"))="Id"</formula>
    </cfRule>
    <cfRule type="beginsWith" dxfId="2476" priority="2778" operator="beginsWith" text="K">
      <formula>LEFT(G54,LEN("K"))="K"</formula>
    </cfRule>
    <cfRule type="beginsWith" dxfId="2475" priority="2780" operator="beginsWith" text="Is-ME">
      <formula>LEFT(G54,LEN("Is-ME"))="Is-ME"</formula>
    </cfRule>
    <cfRule type="beginsWith" dxfId="2474" priority="2782" operator="beginsWith" text="Is-Fe">
      <formula>LEFT(G54,LEN("Is-Fe"))="Is-Fe"</formula>
    </cfRule>
    <cfRule type="beginsWith" dxfId="2473" priority="2784" operator="beginsWith" text="Is">
      <formula>LEFT(G54,LEN("Is"))="Is"</formula>
    </cfRule>
    <cfRule type="beginsWith" dxfId="2472" priority="2786" operator="beginsWith" text="T">
      <formula>LEFT(G54,LEN("T"))="T"</formula>
    </cfRule>
    <cfRule type="beginsWith" dxfId="2471" priority="2788" operator="beginsWith" text="Mg">
      <formula>LEFT(G54,LEN("Mg"))="Mg"</formula>
    </cfRule>
    <cfRule type="beginsWith" dxfId="2470" priority="2790" operator="beginsWith" text="VM">
      <formula>LEFT(G54,LEN("VM"))="VM"</formula>
    </cfRule>
    <cfRule type="beginsWith" dxfId="2469" priority="2792" operator="beginsWith" text="ZW5">
      <formula>LEFT(G54,LEN("ZW5"))="ZW5"</formula>
    </cfRule>
    <cfRule type="beginsWith" dxfId="2468" priority="2794" operator="beginsWith" text="ZW3">
      <formula>LEFT(G54,LEN("ZW3"))="ZW3"</formula>
    </cfRule>
    <cfRule type="beginsWith" dxfId="2467" priority="2796" operator="beginsWith" text="ZW1">
      <formula>LEFT(G54,LEN("ZW1"))="ZW1"</formula>
    </cfRule>
    <cfRule type="beginsWith" dxfId="2466" priority="2798" operator="beginsWith" text="EW6">
      <formula>LEFT(G54,LEN("EW6"))="EW6"</formula>
    </cfRule>
    <cfRule type="beginsWith" dxfId="2465" priority="2800" operator="beginsWith" text="EW4">
      <formula>LEFT(G54,LEN("EW4"))="EW4"</formula>
    </cfRule>
    <cfRule type="beginsWith" dxfId="2464" priority="2802" operator="beginsWith" text="EW2">
      <formula>LEFT(G54,LEN("EW2"))="EW2"</formula>
    </cfRule>
    <cfRule type="beginsWith" dxfId="2463" priority="2804" operator="beginsWith" text="M-AS">
      <formula>LEFT(G54,LEN("M-AS"))="M-AS"</formula>
    </cfRule>
    <cfRule type="beginsWith" dxfId="2462" priority="2806" operator="beginsWith" text="TLP">
      <formula>LEFT(G54,LEN("TLP"))="TLP"</formula>
    </cfRule>
    <cfRule type="beginsWith" dxfId="2461" priority="2808" operator="beginsWith" text="US">
      <formula>LEFT(G54,LEN("US"))="US"</formula>
    </cfRule>
    <cfRule type="beginsWith" dxfId="2460" priority="2810" operator="beginsWith" text="AS">
      <formula>LEFT(G54,LEN("AS"))="AS"</formula>
    </cfRule>
    <cfRule type="beginsWith" dxfId="2459" priority="2812" operator="beginsWith" text="M-iW">
      <formula>LEFT(G54,LEN("M-iW"))="M-iW"</formula>
    </cfRule>
    <cfRule type="beginsWith" dxfId="2458" priority="2814" operator="beginsWith" text="MB">
      <formula>LEFT(G54,LEN("MB"))="MB"</formula>
    </cfRule>
  </conditionalFormatting>
  <conditionalFormatting sqref="G54:NJ54">
    <cfRule type="expression" dxfId="2457" priority="2739">
      <formula>$F54="--"</formula>
    </cfRule>
    <cfRule type="expression" dxfId="2456" priority="2741">
      <formula>G$3=$PP54</formula>
    </cfRule>
    <cfRule type="expression" dxfId="2455" priority="2743">
      <formula>G$3=$PN54</formula>
    </cfRule>
    <cfRule type="expression" dxfId="2454" priority="2745">
      <formula>G$3=$PL54</formula>
    </cfRule>
    <cfRule type="expression" dxfId="2453" priority="2747">
      <formula>IF(G54=0,IF(OR(G$4=6,G$4=7,G$5=1),1,0),0)</formula>
    </cfRule>
    <cfRule type="expression" dxfId="2452" priority="2749">
      <formula>IF($C54&gt;0,IF(G$4=1,1,0),0)</formula>
    </cfRule>
    <cfRule type="expression" dxfId="2451" priority="2751">
      <formula>IF(OR(G54="T1..",G54="T2..",G54="T3..",G54="T4..",G54="T5..",G54="T6..",G54="T7..",G54="T8..",G54="T9.."),1,0)</formula>
    </cfRule>
    <cfRule type="expression" dxfId="2450" priority="2753">
      <formula>IF(OR(G54="T1",G54="T2",G54="T3",G54="T4",G54="T5",G54="T6",G54="T7",G54="T8",G54="T9"),1,0)</formula>
    </cfRule>
    <cfRule type="endsWith" dxfId="2449" priority="2755" operator="endsWith" text="_x">
      <formula>RIGHT(G54,LEN("_x"))="_x"</formula>
    </cfRule>
    <cfRule type="beginsWith" dxfId="2448" priority="2757" operator="beginsWith" text="AS-TL">
      <formula>LEFT(G54,LEN("AS-TL"))="AS-TL"</formula>
    </cfRule>
    <cfRule type="beginsWith" dxfId="2447" priority="2759" operator="beginsWith" text="tbs">
      <formula>LEFT(G54,LEN("tbs"))="tbs"</formula>
    </cfRule>
    <cfRule type="beginsWith" dxfId="2446" priority="2761" operator="beginsWith" text="TL-AS">
      <formula>LEFT(G54,LEN("TL-AS"))="TL-AS"</formula>
    </cfRule>
    <cfRule type="beginsWith" dxfId="2445" priority="2763" operator="beginsWith" text="L">
      <formula>LEFT(G54,LEN("L"))="L"</formula>
    </cfRule>
    <cfRule type="beginsWith" dxfId="2444" priority="2765" operator="beginsWith" text="DC">
      <formula>LEFT(G54,LEN("DC"))="DC"</formula>
    </cfRule>
    <cfRule type="beginsWith" dxfId="2443" priority="2767" operator="beginsWith" text="FP">
      <formula>LEFT(G54,LEN("FP"))="FP"</formula>
    </cfRule>
    <cfRule type="beginsWith" dxfId="2442" priority="2769" operator="beginsWith" text="M-TT">
      <formula>LEFT(G54,LEN("M-TT"))="M-TT"</formula>
    </cfRule>
    <cfRule type="beginsWith" dxfId="2441" priority="2771" operator="beginsWith" text="Ü">
      <formula>LEFT(G54,LEN("Ü"))="Ü"</formula>
    </cfRule>
    <cfRule type="beginsWith" dxfId="2440" priority="2773" operator="beginsWith" text="iW">
      <formula>LEFT(G54,LEN("iW"))="iW"</formula>
    </cfRule>
    <cfRule type="beginsWith" dxfId="2439" priority="2775" operator="beginsWith" text="D">
      <formula>LEFT(G54,LEN("D"))="D"</formula>
    </cfRule>
    <cfRule type="beginsWith" dxfId="2438" priority="2777" operator="beginsWith" text="Kde">
      <formula>LEFT(G54,LEN("Kde"))="Kde"</formula>
    </cfRule>
    <cfRule type="beginsWith" dxfId="2437" priority="2779" operator="beginsWith" text="P">
      <formula>LEFT(G54,LEN("P"))="P"</formula>
    </cfRule>
    <cfRule type="beginsWith" dxfId="2436" priority="2781" operator="beginsWith" text="Is-M">
      <formula>LEFT(G54,LEN("Is-M"))="Is-M"</formula>
    </cfRule>
    <cfRule type="beginsWith" dxfId="2435" priority="2783" operator="beginsWith" text="Is-Id">
      <formula>LEFT(G54,LEN("Is-Id"))="Is-Id"</formula>
    </cfRule>
    <cfRule type="beginsWith" dxfId="2434" priority="2785" operator="beginsWith" text="M-Is">
      <formula>LEFT(G54,LEN("M-Is"))="M-Is"</formula>
    </cfRule>
    <cfRule type="beginsWith" dxfId="2433" priority="2787" operator="beginsWith" text="M-Fe">
      <formula>LEFT(G54,LEN("M-Fe"))="M-Fe"</formula>
    </cfRule>
    <cfRule type="beginsWith" dxfId="2432" priority="2789" operator="beginsWith" text="M-TP">
      <formula>LEFT(G54,LEN("M-TP"))="M-TP"</formula>
    </cfRule>
    <cfRule type="beginsWith" dxfId="2431" priority="2791" operator="beginsWith" text="ZW6">
      <formula>LEFT(G54,LEN("ZW6"))="ZW6"</formula>
    </cfRule>
    <cfRule type="beginsWith" dxfId="2430" priority="2793" operator="beginsWith" text="ZW4">
      <formula>LEFT(G54,LEN("ZW4"))="ZW4"</formula>
    </cfRule>
    <cfRule type="beginsWith" dxfId="2429" priority="2795" operator="beginsWith" text="ZW2">
      <formula>LEFT(G54,LEN("ZW2"))="ZW2"</formula>
    </cfRule>
    <cfRule type="beginsWith" dxfId="2428" priority="2797" operator="beginsWith" text="ZW0">
      <formula>LEFT(G54,LEN("ZW0"))="ZW0"</formula>
    </cfRule>
    <cfRule type="beginsWith" dxfId="2427" priority="2799" operator="beginsWith" text="EW5">
      <formula>LEFT(G54,LEN("EW5"))="EW5"</formula>
    </cfRule>
    <cfRule type="beginsWith" dxfId="2426" priority="2801" operator="beginsWith" text="EW3">
      <formula>LEFT(G54,LEN("EW3"))="EW3"</formula>
    </cfRule>
    <cfRule type="beginsWith" dxfId="2425" priority="2803" operator="beginsWith" text="EW1">
      <formula>LEFT(G54,LEN("EW1"))="EW1"</formula>
    </cfRule>
    <cfRule type="beginsWith" dxfId="2424" priority="2805" operator="beginsWith" text="TL-AS">
      <formula>LEFT(G54,LEN("TL-AS"))="TL-AS"</formula>
    </cfRule>
    <cfRule type="beginsWith" dxfId="2423" priority="2807" operator="beginsWith" text="TL">
      <formula>LEFT(G54,LEN("TL"))="TL"</formula>
    </cfRule>
    <cfRule type="beginsWith" dxfId="2422" priority="2809" operator="beginsWith" text="AF">
      <formula>LEFT(G54,LEN("AF"))="AF"</formula>
    </cfRule>
    <cfRule type="beginsWith" dxfId="2421" priority="2811" operator="beginsWith" text="M-DG">
      <formula>LEFT(G54,LEN("M-DG"))="M-DG"</formula>
    </cfRule>
    <cfRule type="beginsWith" dxfId="2420" priority="2813" operator="beginsWith" text="M-Kde">
      <formula>LEFT(G54,LEN("M-Kde"))="M-Kde"</formula>
    </cfRule>
  </conditionalFormatting>
  <conditionalFormatting sqref="G54:NJ54">
    <cfRule type="beginsWith" dxfId="2419" priority="2737" operator="beginsWith" text="M">
      <formula>LEFT(G54,LEN("M"))="M"</formula>
    </cfRule>
  </conditionalFormatting>
  <conditionalFormatting sqref="G54:NJ54">
    <cfRule type="beginsWith" dxfId="2418" priority="2736" operator="beginsWith" text="Is-MB">
      <formula>LEFT(G54,LEN("Is-MB"))="Is-MB"</formula>
    </cfRule>
  </conditionalFormatting>
  <conditionalFormatting sqref="G54:NJ54">
    <cfRule type="beginsWith" dxfId="2417" priority="2735" operator="beginsWith" text="Y">
      <formula>LEFT(G54,LEN("Y"))="Y"</formula>
    </cfRule>
  </conditionalFormatting>
  <conditionalFormatting sqref="G54:NJ54">
    <cfRule type="beginsWith" dxfId="2416" priority="2734" operator="beginsWith" text="M-FP">
      <formula>LEFT(G54,LEN("M-FP"))="M-FP"</formula>
    </cfRule>
  </conditionalFormatting>
  <conditionalFormatting sqref="G54:NJ54">
    <cfRule type="beginsWith" dxfId="2415" priority="2733" operator="beginsWith" text="ME">
      <formula>LEFT(G54,LEN("ME"))="ME"</formula>
    </cfRule>
  </conditionalFormatting>
  <conditionalFormatting sqref="G54:NJ54">
    <cfRule type="beginsWith" dxfId="2414" priority="2732" operator="beginsWith" text="ME-TL">
      <formula>LEFT(G54,LEN("ME-TL"))="ME-TL"</formula>
    </cfRule>
  </conditionalFormatting>
  <conditionalFormatting sqref="G54:NJ54">
    <cfRule type="beginsWith" dxfId="2413" priority="2731" operator="beginsWith" text="M-W">
      <formula>LEFT(G54,LEN("M-W"))="M-W"</formula>
    </cfRule>
  </conditionalFormatting>
  <conditionalFormatting sqref="A54:E54">
    <cfRule type="expression" dxfId="2412" priority="2815">
      <formula>IF(AND($A54=$A55,#REF!=#REF!,$B54=$B55),0,1)</formula>
    </cfRule>
  </conditionalFormatting>
  <conditionalFormatting sqref="A54:E54">
    <cfRule type="expression" dxfId="2411" priority="2816">
      <formula>$F54="--"</formula>
    </cfRule>
  </conditionalFormatting>
  <conditionalFormatting sqref="A54:E54">
    <cfRule type="expression" dxfId="2410" priority="2817">
      <formula>$F54="-"</formula>
    </cfRule>
  </conditionalFormatting>
  <conditionalFormatting sqref="G58:NJ58">
    <cfRule type="expression" dxfId="2409" priority="2651">
      <formula>$F58="-"</formula>
    </cfRule>
    <cfRule type="expression" dxfId="2408" priority="2653">
      <formula>G$3=$PQ58</formula>
    </cfRule>
    <cfRule type="expression" dxfId="2407" priority="2655">
      <formula>G$3=$PO58</formula>
    </cfRule>
    <cfRule type="expression" dxfId="2406" priority="2657">
      <formula>G$3=$PM58</formula>
    </cfRule>
    <cfRule type="expression" dxfId="2405" priority="2659">
      <formula>IF(AND(RIGHT(G58,1)=".",LEFT(G58,2)&lt;&gt;"T1",LEFT(G58,2)&lt;&gt;"T2",LEFT(G58,2)&lt;&gt;"T3",LEFT(G58,2)&lt;&gt;"T4",LEFT(G58,2)&lt;&gt;"T5",LEFT(G58,2)&lt;&gt;"T6",LEFT(G58,2)&lt;&gt;"T7",LEFT(G58,2)&lt;&gt;"T8",LEFT(G58,2)&lt;&gt;"T9"),1,0)</formula>
    </cfRule>
    <cfRule type="expression" dxfId="2404" priority="2661">
      <formula>IF($C58&gt;0,IF(G$4=7,1,0),0)</formula>
    </cfRule>
    <cfRule type="expression" dxfId="2403" priority="2663">
      <formula>$C58&gt;0</formula>
    </cfRule>
    <cfRule type="expression" dxfId="2402" priority="2665">
      <formula>IF(OR(G58="T1.",G58="T2.",G58="T3.",G58="T4.",G58="T5.",G58="T6.",G58="T7.",G58="T8.",G58="T9."),1,0)</formula>
    </cfRule>
    <cfRule type="endsWith" dxfId="2401" priority="2667" operator="endsWith" text="_A">
      <formula>RIGHT(G58,LEN("_A"))="_A"</formula>
    </cfRule>
    <cfRule type="endsWith" dxfId="2400" priority="2669" operator="endsWith" text="_e">
      <formula>RIGHT(G58,LEN("_e"))="_e"</formula>
    </cfRule>
    <cfRule type="beginsWith" dxfId="2399" priority="2671" operator="beginsWith" text="ME-TL-AS">
      <formula>LEFT(G58,LEN("ME-TL-AS"))="ME-TL-AS"</formula>
    </cfRule>
    <cfRule type="beginsWith" dxfId="2398" priority="2673" operator="beginsWith" text="T-AS">
      <formula>LEFT(G58,LEN("T-AS"))="T-AS"</formula>
    </cfRule>
    <cfRule type="beginsWith" dxfId="2397" priority="2675" operator="beginsWith" text="M-KL">
      <formula>LEFT(G58,LEN("M-KL"))="M-KL"</formula>
    </cfRule>
    <cfRule type="beginsWith" dxfId="2396" priority="2677" operator="beginsWith" text="Ss">
      <formula>LEFT(G58,LEN("Ss"))="Ss"</formula>
    </cfRule>
    <cfRule type="beginsWith" dxfId="2395" priority="2679" operator="beginsWith" text="AC">
      <formula>LEFT(G58,LEN("AC"))="AC"</formula>
    </cfRule>
    <cfRule type="beginsWith" dxfId="2394" priority="2681" operator="beginsWith" text="TT">
      <formula>LEFT(G58,LEN("TT"))="TT"</formula>
    </cfRule>
    <cfRule type="beginsWith" dxfId="2393" priority="2683" operator="beginsWith" text="S">
      <formula>LEFT(G58,LEN("S"))="S"</formula>
    </cfRule>
    <cfRule type="beginsWith" dxfId="2392" priority="2685" operator="beginsWith" text="PK">
      <formula>LEFT(G58,LEN("PK"))="PK"</formula>
    </cfRule>
    <cfRule type="beginsWith" dxfId="2391" priority="2687" operator="beginsWith" text="W">
      <formula>LEFT(G58,LEN("W"))="W"</formula>
    </cfRule>
    <cfRule type="beginsWith" dxfId="2390" priority="2689" operator="beginsWith" text="Id">
      <formula>LEFT(G58,LEN("Id"))="Id"</formula>
    </cfRule>
    <cfRule type="beginsWith" dxfId="2389" priority="2691" operator="beginsWith" text="K">
      <formula>LEFT(G58,LEN("K"))="K"</formula>
    </cfRule>
    <cfRule type="beginsWith" dxfId="2388" priority="2693" operator="beginsWith" text="Is-ME">
      <formula>LEFT(G58,LEN("Is-ME"))="Is-ME"</formula>
    </cfRule>
    <cfRule type="beginsWith" dxfId="2387" priority="2695" operator="beginsWith" text="Is-Fe">
      <formula>LEFT(G58,LEN("Is-Fe"))="Is-Fe"</formula>
    </cfRule>
    <cfRule type="beginsWith" dxfId="2386" priority="2697" operator="beginsWith" text="Is">
      <formula>LEFT(G58,LEN("Is"))="Is"</formula>
    </cfRule>
    <cfRule type="beginsWith" dxfId="2385" priority="2699" operator="beginsWith" text="T">
      <formula>LEFT(G58,LEN("T"))="T"</formula>
    </cfRule>
    <cfRule type="beginsWith" dxfId="2384" priority="2701" operator="beginsWith" text="Mg">
      <formula>LEFT(G58,LEN("Mg"))="Mg"</formula>
    </cfRule>
    <cfRule type="beginsWith" dxfId="2383" priority="2703" operator="beginsWith" text="VM">
      <formula>LEFT(G58,LEN("VM"))="VM"</formula>
    </cfRule>
    <cfRule type="beginsWith" dxfId="2382" priority="2705" operator="beginsWith" text="ZW5">
      <formula>LEFT(G58,LEN("ZW5"))="ZW5"</formula>
    </cfRule>
    <cfRule type="beginsWith" dxfId="2381" priority="2707" operator="beginsWith" text="ZW3">
      <formula>LEFT(G58,LEN("ZW3"))="ZW3"</formula>
    </cfRule>
    <cfRule type="beginsWith" dxfId="2380" priority="2709" operator="beginsWith" text="ZW1">
      <formula>LEFT(G58,LEN("ZW1"))="ZW1"</formula>
    </cfRule>
    <cfRule type="beginsWith" dxfId="2379" priority="2711" operator="beginsWith" text="EW6">
      <formula>LEFT(G58,LEN("EW6"))="EW6"</formula>
    </cfRule>
    <cfRule type="beginsWith" dxfId="2378" priority="2713" operator="beginsWith" text="EW4">
      <formula>LEFT(G58,LEN("EW4"))="EW4"</formula>
    </cfRule>
    <cfRule type="beginsWith" dxfId="2377" priority="2715" operator="beginsWith" text="EW2">
      <formula>LEFT(G58,LEN("EW2"))="EW2"</formula>
    </cfRule>
    <cfRule type="beginsWith" dxfId="2376" priority="2717" operator="beginsWith" text="M-AS">
      <formula>LEFT(G58,LEN("M-AS"))="M-AS"</formula>
    </cfRule>
    <cfRule type="beginsWith" dxfId="2375" priority="2719" operator="beginsWith" text="TLP">
      <formula>LEFT(G58,LEN("TLP"))="TLP"</formula>
    </cfRule>
    <cfRule type="beginsWith" dxfId="2374" priority="2721" operator="beginsWith" text="US">
      <formula>LEFT(G58,LEN("US"))="US"</formula>
    </cfRule>
    <cfRule type="beginsWith" dxfId="2373" priority="2723" operator="beginsWith" text="AS">
      <formula>LEFT(G58,LEN("AS"))="AS"</formula>
    </cfRule>
    <cfRule type="beginsWith" dxfId="2372" priority="2725" operator="beginsWith" text="M-iW">
      <formula>LEFT(G58,LEN("M-iW"))="M-iW"</formula>
    </cfRule>
    <cfRule type="beginsWith" dxfId="2371" priority="2727" operator="beginsWith" text="MB">
      <formula>LEFT(G58,LEN("MB"))="MB"</formula>
    </cfRule>
  </conditionalFormatting>
  <conditionalFormatting sqref="G58:NJ58">
    <cfRule type="expression" dxfId="2370" priority="2652">
      <formula>$F58="--"</formula>
    </cfRule>
    <cfRule type="expression" dxfId="2369" priority="2654">
      <formula>G$3=$PP58</formula>
    </cfRule>
    <cfRule type="expression" dxfId="2368" priority="2656">
      <formula>G$3=$PN58</formula>
    </cfRule>
    <cfRule type="expression" dxfId="2367" priority="2658">
      <formula>G$3=$PL58</formula>
    </cfRule>
    <cfRule type="expression" dxfId="2366" priority="2660">
      <formula>IF(G58=0,IF(OR(G$4=6,G$4=7,G$5=1),1,0),0)</formula>
    </cfRule>
    <cfRule type="expression" dxfId="2365" priority="2662">
      <formula>IF($C58&gt;0,IF(G$4=1,1,0),0)</formula>
    </cfRule>
    <cfRule type="expression" dxfId="2364" priority="2664">
      <formula>IF(OR(G58="T1..",G58="T2..",G58="T3..",G58="T4..",G58="T5..",G58="T6..",G58="T7..",G58="T8..",G58="T9.."),1,0)</formula>
    </cfRule>
    <cfRule type="expression" dxfId="2363" priority="2666">
      <formula>IF(OR(G58="T1",G58="T2",G58="T3",G58="T4",G58="T5",G58="T6",G58="T7",G58="T8",G58="T9"),1,0)</formula>
    </cfRule>
    <cfRule type="endsWith" dxfId="2362" priority="2668" operator="endsWith" text="_x">
      <formula>RIGHT(G58,LEN("_x"))="_x"</formula>
    </cfRule>
    <cfRule type="beginsWith" dxfId="2361" priority="2670" operator="beginsWith" text="AS-TL">
      <formula>LEFT(G58,LEN("AS-TL"))="AS-TL"</formula>
    </cfRule>
    <cfRule type="beginsWith" dxfId="2360" priority="2672" operator="beginsWith" text="tbs">
      <formula>LEFT(G58,LEN("tbs"))="tbs"</formula>
    </cfRule>
    <cfRule type="beginsWith" dxfId="2359" priority="2674" operator="beginsWith" text="TL-AS">
      <formula>LEFT(G58,LEN("TL-AS"))="TL-AS"</formula>
    </cfRule>
    <cfRule type="beginsWith" dxfId="2358" priority="2676" operator="beginsWith" text="L">
      <formula>LEFT(G58,LEN("L"))="L"</formula>
    </cfRule>
    <cfRule type="beginsWith" dxfId="2357" priority="2678" operator="beginsWith" text="DC">
      <formula>LEFT(G58,LEN("DC"))="DC"</formula>
    </cfRule>
    <cfRule type="beginsWith" dxfId="2356" priority="2680" operator="beginsWith" text="FP">
      <formula>LEFT(G58,LEN("FP"))="FP"</formula>
    </cfRule>
    <cfRule type="beginsWith" dxfId="2355" priority="2682" operator="beginsWith" text="M-TT">
      <formula>LEFT(G58,LEN("M-TT"))="M-TT"</formula>
    </cfRule>
    <cfRule type="beginsWith" dxfId="2354" priority="2684" operator="beginsWith" text="Ü">
      <formula>LEFT(G58,LEN("Ü"))="Ü"</formula>
    </cfRule>
    <cfRule type="beginsWith" dxfId="2353" priority="2686" operator="beginsWith" text="iW">
      <formula>LEFT(G58,LEN("iW"))="iW"</formula>
    </cfRule>
    <cfRule type="beginsWith" dxfId="2352" priority="2688" operator="beginsWith" text="D">
      <formula>LEFT(G58,LEN("D"))="D"</formula>
    </cfRule>
    <cfRule type="beginsWith" dxfId="2351" priority="2690" operator="beginsWith" text="Kde">
      <formula>LEFT(G58,LEN("Kde"))="Kde"</formula>
    </cfRule>
    <cfRule type="beginsWith" dxfId="2350" priority="2692" operator="beginsWith" text="P">
      <formula>LEFT(G58,LEN("P"))="P"</formula>
    </cfRule>
    <cfRule type="beginsWith" dxfId="2349" priority="2694" operator="beginsWith" text="Is-M">
      <formula>LEFT(G58,LEN("Is-M"))="Is-M"</formula>
    </cfRule>
    <cfRule type="beginsWith" dxfId="2348" priority="2696" operator="beginsWith" text="Is-Id">
      <formula>LEFT(G58,LEN("Is-Id"))="Is-Id"</formula>
    </cfRule>
    <cfRule type="beginsWith" dxfId="2347" priority="2698" operator="beginsWith" text="M-Is">
      <formula>LEFT(G58,LEN("M-Is"))="M-Is"</formula>
    </cfRule>
    <cfRule type="beginsWith" dxfId="2346" priority="2700" operator="beginsWith" text="M-Fe">
      <formula>LEFT(G58,LEN("M-Fe"))="M-Fe"</formula>
    </cfRule>
    <cfRule type="beginsWith" dxfId="2345" priority="2702" operator="beginsWith" text="M-TP">
      <formula>LEFT(G58,LEN("M-TP"))="M-TP"</formula>
    </cfRule>
    <cfRule type="beginsWith" dxfId="2344" priority="2704" operator="beginsWith" text="ZW6">
      <formula>LEFT(G58,LEN("ZW6"))="ZW6"</formula>
    </cfRule>
    <cfRule type="beginsWith" dxfId="2343" priority="2706" operator="beginsWith" text="ZW4">
      <formula>LEFT(G58,LEN("ZW4"))="ZW4"</formula>
    </cfRule>
    <cfRule type="beginsWith" dxfId="2342" priority="2708" operator="beginsWith" text="ZW2">
      <formula>LEFT(G58,LEN("ZW2"))="ZW2"</formula>
    </cfRule>
    <cfRule type="beginsWith" dxfId="2341" priority="2710" operator="beginsWith" text="ZW0">
      <formula>LEFT(G58,LEN("ZW0"))="ZW0"</formula>
    </cfRule>
    <cfRule type="beginsWith" dxfId="2340" priority="2712" operator="beginsWith" text="EW5">
      <formula>LEFT(G58,LEN("EW5"))="EW5"</formula>
    </cfRule>
    <cfRule type="beginsWith" dxfId="2339" priority="2714" operator="beginsWith" text="EW3">
      <formula>LEFT(G58,LEN("EW3"))="EW3"</formula>
    </cfRule>
    <cfRule type="beginsWith" dxfId="2338" priority="2716" operator="beginsWith" text="EW1">
      <formula>LEFT(G58,LEN("EW1"))="EW1"</formula>
    </cfRule>
    <cfRule type="beginsWith" dxfId="2337" priority="2718" operator="beginsWith" text="TL-AS">
      <formula>LEFT(G58,LEN("TL-AS"))="TL-AS"</formula>
    </cfRule>
    <cfRule type="beginsWith" dxfId="2336" priority="2720" operator="beginsWith" text="TL">
      <formula>LEFT(G58,LEN("TL"))="TL"</formula>
    </cfRule>
    <cfRule type="beginsWith" dxfId="2335" priority="2722" operator="beginsWith" text="AF">
      <formula>LEFT(G58,LEN("AF"))="AF"</formula>
    </cfRule>
    <cfRule type="beginsWith" dxfId="2334" priority="2724" operator="beginsWith" text="M-DG">
      <formula>LEFT(G58,LEN("M-DG"))="M-DG"</formula>
    </cfRule>
    <cfRule type="beginsWith" dxfId="2333" priority="2726" operator="beginsWith" text="M-Kde">
      <formula>LEFT(G58,LEN("M-Kde"))="M-Kde"</formula>
    </cfRule>
  </conditionalFormatting>
  <conditionalFormatting sqref="G58:NJ58">
    <cfRule type="beginsWith" dxfId="2332" priority="2650" operator="beginsWith" text="M">
      <formula>LEFT(G58,LEN("M"))="M"</formula>
    </cfRule>
  </conditionalFormatting>
  <conditionalFormatting sqref="G58:NJ58">
    <cfRule type="beginsWith" dxfId="2331" priority="2649" operator="beginsWith" text="Is-MB">
      <formula>LEFT(G58,LEN("Is-MB"))="Is-MB"</formula>
    </cfRule>
  </conditionalFormatting>
  <conditionalFormatting sqref="G58:NJ58">
    <cfRule type="beginsWith" dxfId="2330" priority="2648" operator="beginsWith" text="Y">
      <formula>LEFT(G58,LEN("Y"))="Y"</formula>
    </cfRule>
  </conditionalFormatting>
  <conditionalFormatting sqref="G58:NJ58">
    <cfRule type="beginsWith" dxfId="2329" priority="2647" operator="beginsWith" text="M-FP">
      <formula>LEFT(G58,LEN("M-FP"))="M-FP"</formula>
    </cfRule>
  </conditionalFormatting>
  <conditionalFormatting sqref="G58:NJ58">
    <cfRule type="beginsWith" dxfId="2328" priority="2646" operator="beginsWith" text="ME">
      <formula>LEFT(G58,LEN("ME"))="ME"</formula>
    </cfRule>
  </conditionalFormatting>
  <conditionalFormatting sqref="G58:NJ58">
    <cfRule type="beginsWith" dxfId="2327" priority="2645" operator="beginsWith" text="ME-TL">
      <formula>LEFT(G58,LEN("ME-TL"))="ME-TL"</formula>
    </cfRule>
  </conditionalFormatting>
  <conditionalFormatting sqref="G58:NJ58">
    <cfRule type="beginsWith" dxfId="2326" priority="2644" operator="beginsWith" text="M-W">
      <formula>LEFT(G58,LEN("M-W"))="M-W"</formula>
    </cfRule>
  </conditionalFormatting>
  <conditionalFormatting sqref="A58:E58">
    <cfRule type="expression" dxfId="2325" priority="2728">
      <formula>IF(AND($A58=$A59,#REF!=#REF!,$B58=$B59),0,1)</formula>
    </cfRule>
  </conditionalFormatting>
  <conditionalFormatting sqref="A58:E58">
    <cfRule type="expression" dxfId="2324" priority="2729">
      <formula>$F58="--"</formula>
    </cfRule>
  </conditionalFormatting>
  <conditionalFormatting sqref="A58:E58">
    <cfRule type="expression" dxfId="2323" priority="2730">
      <formula>$F58="-"</formula>
    </cfRule>
  </conditionalFormatting>
  <conditionalFormatting sqref="G62:NJ62">
    <cfRule type="expression" dxfId="2322" priority="2564">
      <formula>$F62="-"</formula>
    </cfRule>
    <cfRule type="expression" dxfId="2321" priority="2566">
      <formula>G$3=$PQ62</formula>
    </cfRule>
    <cfRule type="expression" dxfId="2320" priority="2568">
      <formula>G$3=$PO62</formula>
    </cfRule>
    <cfRule type="expression" dxfId="2319" priority="2570">
      <formula>G$3=$PM62</formula>
    </cfRule>
    <cfRule type="expression" dxfId="2318" priority="2572">
      <formula>IF(AND(RIGHT(G62,1)=".",LEFT(G62,2)&lt;&gt;"T1",LEFT(G62,2)&lt;&gt;"T2",LEFT(G62,2)&lt;&gt;"T3",LEFT(G62,2)&lt;&gt;"T4",LEFT(G62,2)&lt;&gt;"T5",LEFT(G62,2)&lt;&gt;"T6",LEFT(G62,2)&lt;&gt;"T7",LEFT(G62,2)&lt;&gt;"T8",LEFT(G62,2)&lt;&gt;"T9"),1,0)</formula>
    </cfRule>
    <cfRule type="expression" dxfId="2317" priority="2574">
      <formula>IF($C62&gt;0,IF(G$4=7,1,0),0)</formula>
    </cfRule>
    <cfRule type="expression" dxfId="2316" priority="2576">
      <formula>$C62&gt;0</formula>
    </cfRule>
    <cfRule type="expression" dxfId="2315" priority="2578">
      <formula>IF(OR(G62="T1.",G62="T2.",G62="T3.",G62="T4.",G62="T5.",G62="T6.",G62="T7.",G62="T8.",G62="T9."),1,0)</formula>
    </cfRule>
    <cfRule type="endsWith" dxfId="2314" priority="2580" operator="endsWith" text="_A">
      <formula>RIGHT(G62,LEN("_A"))="_A"</formula>
    </cfRule>
    <cfRule type="endsWith" dxfId="2313" priority="2582" operator="endsWith" text="_e">
      <formula>RIGHT(G62,LEN("_e"))="_e"</formula>
    </cfRule>
    <cfRule type="beginsWith" dxfId="2312" priority="2584" operator="beginsWith" text="ME-TL-AS">
      <formula>LEFT(G62,LEN("ME-TL-AS"))="ME-TL-AS"</formula>
    </cfRule>
    <cfRule type="beginsWith" dxfId="2311" priority="2586" operator="beginsWith" text="T-AS">
      <formula>LEFT(G62,LEN("T-AS"))="T-AS"</formula>
    </cfRule>
    <cfRule type="beginsWith" dxfId="2310" priority="2588" operator="beginsWith" text="M-KL">
      <formula>LEFT(G62,LEN("M-KL"))="M-KL"</formula>
    </cfRule>
    <cfRule type="beginsWith" dxfId="2309" priority="2590" operator="beginsWith" text="Ss">
      <formula>LEFT(G62,LEN("Ss"))="Ss"</formula>
    </cfRule>
    <cfRule type="beginsWith" dxfId="2308" priority="2592" operator="beginsWith" text="AC">
      <formula>LEFT(G62,LEN("AC"))="AC"</formula>
    </cfRule>
    <cfRule type="beginsWith" dxfId="2307" priority="2594" operator="beginsWith" text="TT">
      <formula>LEFT(G62,LEN("TT"))="TT"</formula>
    </cfRule>
    <cfRule type="beginsWith" dxfId="2306" priority="2596" operator="beginsWith" text="S">
      <formula>LEFT(G62,LEN("S"))="S"</formula>
    </cfRule>
    <cfRule type="beginsWith" dxfId="2305" priority="2598" operator="beginsWith" text="PK">
      <formula>LEFT(G62,LEN("PK"))="PK"</formula>
    </cfRule>
    <cfRule type="beginsWith" dxfId="2304" priority="2600" operator="beginsWith" text="W">
      <formula>LEFT(G62,LEN("W"))="W"</formula>
    </cfRule>
    <cfRule type="beginsWith" dxfId="2303" priority="2602" operator="beginsWith" text="Id">
      <formula>LEFT(G62,LEN("Id"))="Id"</formula>
    </cfRule>
    <cfRule type="beginsWith" dxfId="2302" priority="2604" operator="beginsWith" text="K">
      <formula>LEFT(G62,LEN("K"))="K"</formula>
    </cfRule>
    <cfRule type="beginsWith" dxfId="2301" priority="2606" operator="beginsWith" text="Is-ME">
      <formula>LEFT(G62,LEN("Is-ME"))="Is-ME"</formula>
    </cfRule>
    <cfRule type="beginsWith" dxfId="2300" priority="2608" operator="beginsWith" text="Is-Fe">
      <formula>LEFT(G62,LEN("Is-Fe"))="Is-Fe"</formula>
    </cfRule>
    <cfRule type="beginsWith" dxfId="2299" priority="2610" operator="beginsWith" text="Is">
      <formula>LEFT(G62,LEN("Is"))="Is"</formula>
    </cfRule>
    <cfRule type="beginsWith" dxfId="2298" priority="2612" operator="beginsWith" text="T">
      <formula>LEFT(G62,LEN("T"))="T"</formula>
    </cfRule>
    <cfRule type="beginsWith" dxfId="2297" priority="2614" operator="beginsWith" text="Mg">
      <formula>LEFT(G62,LEN("Mg"))="Mg"</formula>
    </cfRule>
    <cfRule type="beginsWith" dxfId="2296" priority="2616" operator="beginsWith" text="VM">
      <formula>LEFT(G62,LEN("VM"))="VM"</formula>
    </cfRule>
    <cfRule type="beginsWith" dxfId="2295" priority="2618" operator="beginsWith" text="ZW5">
      <formula>LEFT(G62,LEN("ZW5"))="ZW5"</formula>
    </cfRule>
    <cfRule type="beginsWith" dxfId="2294" priority="2620" operator="beginsWith" text="ZW3">
      <formula>LEFT(G62,LEN("ZW3"))="ZW3"</formula>
    </cfRule>
    <cfRule type="beginsWith" dxfId="2293" priority="2622" operator="beginsWith" text="ZW1">
      <formula>LEFT(G62,LEN("ZW1"))="ZW1"</formula>
    </cfRule>
    <cfRule type="beginsWith" dxfId="2292" priority="2624" operator="beginsWith" text="EW6">
      <formula>LEFT(G62,LEN("EW6"))="EW6"</formula>
    </cfRule>
    <cfRule type="beginsWith" dxfId="2291" priority="2626" operator="beginsWith" text="EW4">
      <formula>LEFT(G62,LEN("EW4"))="EW4"</formula>
    </cfRule>
    <cfRule type="beginsWith" dxfId="2290" priority="2628" operator="beginsWith" text="EW2">
      <formula>LEFT(G62,LEN("EW2"))="EW2"</formula>
    </cfRule>
    <cfRule type="beginsWith" dxfId="2289" priority="2630" operator="beginsWith" text="M-AS">
      <formula>LEFT(G62,LEN("M-AS"))="M-AS"</formula>
    </cfRule>
    <cfRule type="beginsWith" dxfId="2288" priority="2632" operator="beginsWith" text="TLP">
      <formula>LEFT(G62,LEN("TLP"))="TLP"</formula>
    </cfRule>
    <cfRule type="beginsWith" dxfId="2287" priority="2634" operator="beginsWith" text="US">
      <formula>LEFT(G62,LEN("US"))="US"</formula>
    </cfRule>
    <cfRule type="beginsWith" dxfId="2286" priority="2636" operator="beginsWith" text="AS">
      <formula>LEFT(G62,LEN("AS"))="AS"</formula>
    </cfRule>
    <cfRule type="beginsWith" dxfId="2285" priority="2638" operator="beginsWith" text="M-iW">
      <formula>LEFT(G62,LEN("M-iW"))="M-iW"</formula>
    </cfRule>
    <cfRule type="beginsWith" dxfId="2284" priority="2640" operator="beginsWith" text="MB">
      <formula>LEFT(G62,LEN("MB"))="MB"</formula>
    </cfRule>
  </conditionalFormatting>
  <conditionalFormatting sqref="G62:NJ62">
    <cfRule type="expression" dxfId="2283" priority="2565">
      <formula>$F62="--"</formula>
    </cfRule>
    <cfRule type="expression" dxfId="2282" priority="2567">
      <formula>G$3=$PP62</formula>
    </cfRule>
    <cfRule type="expression" dxfId="2281" priority="2569">
      <formula>G$3=$PN62</formula>
    </cfRule>
    <cfRule type="expression" dxfId="2280" priority="2571">
      <formula>G$3=$PL62</formula>
    </cfRule>
    <cfRule type="expression" dxfId="2279" priority="2573">
      <formula>IF(G62=0,IF(OR(G$4=6,G$4=7,G$5=1),1,0),0)</formula>
    </cfRule>
    <cfRule type="expression" dxfId="2278" priority="2575">
      <formula>IF($C62&gt;0,IF(G$4=1,1,0),0)</formula>
    </cfRule>
    <cfRule type="expression" dxfId="2277" priority="2577">
      <formula>IF(OR(G62="T1..",G62="T2..",G62="T3..",G62="T4..",G62="T5..",G62="T6..",G62="T7..",G62="T8..",G62="T9.."),1,0)</formula>
    </cfRule>
    <cfRule type="expression" dxfId="2276" priority="2579">
      <formula>IF(OR(G62="T1",G62="T2",G62="T3",G62="T4",G62="T5",G62="T6",G62="T7",G62="T8",G62="T9"),1,0)</formula>
    </cfRule>
    <cfRule type="endsWith" dxfId="2275" priority="2581" operator="endsWith" text="_x">
      <formula>RIGHT(G62,LEN("_x"))="_x"</formula>
    </cfRule>
    <cfRule type="beginsWith" dxfId="2274" priority="2583" operator="beginsWith" text="AS-TL">
      <formula>LEFT(G62,LEN("AS-TL"))="AS-TL"</formula>
    </cfRule>
    <cfRule type="beginsWith" dxfId="2273" priority="2585" operator="beginsWith" text="tbs">
      <formula>LEFT(G62,LEN("tbs"))="tbs"</formula>
    </cfRule>
    <cfRule type="beginsWith" dxfId="2272" priority="2587" operator="beginsWith" text="TL-AS">
      <formula>LEFT(G62,LEN("TL-AS"))="TL-AS"</formula>
    </cfRule>
    <cfRule type="beginsWith" dxfId="2271" priority="2589" operator="beginsWith" text="L">
      <formula>LEFT(G62,LEN("L"))="L"</formula>
    </cfRule>
    <cfRule type="beginsWith" dxfId="2270" priority="2591" operator="beginsWith" text="DC">
      <formula>LEFT(G62,LEN("DC"))="DC"</formula>
    </cfRule>
    <cfRule type="beginsWith" dxfId="2269" priority="2593" operator="beginsWith" text="FP">
      <formula>LEFT(G62,LEN("FP"))="FP"</formula>
    </cfRule>
    <cfRule type="beginsWith" dxfId="2268" priority="2595" operator="beginsWith" text="M-TT">
      <formula>LEFT(G62,LEN("M-TT"))="M-TT"</formula>
    </cfRule>
    <cfRule type="beginsWith" dxfId="2267" priority="2597" operator="beginsWith" text="Ü">
      <formula>LEFT(G62,LEN("Ü"))="Ü"</formula>
    </cfRule>
    <cfRule type="beginsWith" dxfId="2266" priority="2599" operator="beginsWith" text="iW">
      <formula>LEFT(G62,LEN("iW"))="iW"</formula>
    </cfRule>
    <cfRule type="beginsWith" dxfId="2265" priority="2601" operator="beginsWith" text="D">
      <formula>LEFT(G62,LEN("D"))="D"</formula>
    </cfRule>
    <cfRule type="beginsWith" dxfId="2264" priority="2603" operator="beginsWith" text="Kde">
      <formula>LEFT(G62,LEN("Kde"))="Kde"</formula>
    </cfRule>
    <cfRule type="beginsWith" dxfId="2263" priority="2605" operator="beginsWith" text="P">
      <formula>LEFT(G62,LEN("P"))="P"</formula>
    </cfRule>
    <cfRule type="beginsWith" dxfId="2262" priority="2607" operator="beginsWith" text="Is-M">
      <formula>LEFT(G62,LEN("Is-M"))="Is-M"</formula>
    </cfRule>
    <cfRule type="beginsWith" dxfId="2261" priority="2609" operator="beginsWith" text="Is-Id">
      <formula>LEFT(G62,LEN("Is-Id"))="Is-Id"</formula>
    </cfRule>
    <cfRule type="beginsWith" dxfId="2260" priority="2611" operator="beginsWith" text="M-Is">
      <formula>LEFT(G62,LEN("M-Is"))="M-Is"</formula>
    </cfRule>
    <cfRule type="beginsWith" dxfId="2259" priority="2613" operator="beginsWith" text="M-Fe">
      <formula>LEFT(G62,LEN("M-Fe"))="M-Fe"</formula>
    </cfRule>
    <cfRule type="beginsWith" dxfId="2258" priority="2615" operator="beginsWith" text="M-TP">
      <formula>LEFT(G62,LEN("M-TP"))="M-TP"</formula>
    </cfRule>
    <cfRule type="beginsWith" dxfId="2257" priority="2617" operator="beginsWith" text="ZW6">
      <formula>LEFT(G62,LEN("ZW6"))="ZW6"</formula>
    </cfRule>
    <cfRule type="beginsWith" dxfId="2256" priority="2619" operator="beginsWith" text="ZW4">
      <formula>LEFT(G62,LEN("ZW4"))="ZW4"</formula>
    </cfRule>
    <cfRule type="beginsWith" dxfId="2255" priority="2621" operator="beginsWith" text="ZW2">
      <formula>LEFT(G62,LEN("ZW2"))="ZW2"</formula>
    </cfRule>
    <cfRule type="beginsWith" dxfId="2254" priority="2623" operator="beginsWith" text="ZW0">
      <formula>LEFT(G62,LEN("ZW0"))="ZW0"</formula>
    </cfRule>
    <cfRule type="beginsWith" dxfId="2253" priority="2625" operator="beginsWith" text="EW5">
      <formula>LEFT(G62,LEN("EW5"))="EW5"</formula>
    </cfRule>
    <cfRule type="beginsWith" dxfId="2252" priority="2627" operator="beginsWith" text="EW3">
      <formula>LEFT(G62,LEN("EW3"))="EW3"</formula>
    </cfRule>
    <cfRule type="beginsWith" dxfId="2251" priority="2629" operator="beginsWith" text="EW1">
      <formula>LEFT(G62,LEN("EW1"))="EW1"</formula>
    </cfRule>
    <cfRule type="beginsWith" dxfId="2250" priority="2631" operator="beginsWith" text="TL-AS">
      <formula>LEFT(G62,LEN("TL-AS"))="TL-AS"</formula>
    </cfRule>
    <cfRule type="beginsWith" dxfId="2249" priority="2633" operator="beginsWith" text="TL">
      <formula>LEFT(G62,LEN("TL"))="TL"</formula>
    </cfRule>
    <cfRule type="beginsWith" dxfId="2248" priority="2635" operator="beginsWith" text="AF">
      <formula>LEFT(G62,LEN("AF"))="AF"</formula>
    </cfRule>
    <cfRule type="beginsWith" dxfId="2247" priority="2637" operator="beginsWith" text="M-DG">
      <formula>LEFT(G62,LEN("M-DG"))="M-DG"</formula>
    </cfRule>
    <cfRule type="beginsWith" dxfId="2246" priority="2639" operator="beginsWith" text="M-Kde">
      <formula>LEFT(G62,LEN("M-Kde"))="M-Kde"</formula>
    </cfRule>
  </conditionalFormatting>
  <conditionalFormatting sqref="G62:NJ62">
    <cfRule type="beginsWith" dxfId="2245" priority="2563" operator="beginsWith" text="M">
      <formula>LEFT(G62,LEN("M"))="M"</formula>
    </cfRule>
  </conditionalFormatting>
  <conditionalFormatting sqref="G62:NJ62">
    <cfRule type="beginsWith" dxfId="2244" priority="2562" operator="beginsWith" text="Is-MB">
      <formula>LEFT(G62,LEN("Is-MB"))="Is-MB"</formula>
    </cfRule>
  </conditionalFormatting>
  <conditionalFormatting sqref="G62:NJ62">
    <cfRule type="beginsWith" dxfId="2243" priority="2561" operator="beginsWith" text="Y">
      <formula>LEFT(G62,LEN("Y"))="Y"</formula>
    </cfRule>
  </conditionalFormatting>
  <conditionalFormatting sqref="G62:NJ62">
    <cfRule type="beginsWith" dxfId="2242" priority="2560" operator="beginsWith" text="M-FP">
      <formula>LEFT(G62,LEN("M-FP"))="M-FP"</formula>
    </cfRule>
  </conditionalFormatting>
  <conditionalFormatting sqref="G62:NJ62">
    <cfRule type="beginsWith" dxfId="2241" priority="2559" operator="beginsWith" text="ME">
      <formula>LEFT(G62,LEN("ME"))="ME"</formula>
    </cfRule>
  </conditionalFormatting>
  <conditionalFormatting sqref="G62:NJ62">
    <cfRule type="beginsWith" dxfId="2240" priority="2558" operator="beginsWith" text="ME-TL">
      <formula>LEFT(G62,LEN("ME-TL"))="ME-TL"</formula>
    </cfRule>
  </conditionalFormatting>
  <conditionalFormatting sqref="G62:NJ62">
    <cfRule type="beginsWith" dxfId="2239" priority="2557" operator="beginsWith" text="M-W">
      <formula>LEFT(G62,LEN("M-W"))="M-W"</formula>
    </cfRule>
  </conditionalFormatting>
  <conditionalFormatting sqref="A62:E62">
    <cfRule type="expression" dxfId="2238" priority="2641">
      <formula>IF(AND($A62=$A63,#REF!=#REF!,$B62=$B63),0,1)</formula>
    </cfRule>
  </conditionalFormatting>
  <conditionalFormatting sqref="A62:E62">
    <cfRule type="expression" dxfId="2237" priority="2642">
      <formula>$F62="--"</formula>
    </cfRule>
  </conditionalFormatting>
  <conditionalFormatting sqref="A62:E62">
    <cfRule type="expression" dxfId="2236" priority="2643">
      <formula>$F62="-"</formula>
    </cfRule>
  </conditionalFormatting>
  <conditionalFormatting sqref="G66:NJ66">
    <cfRule type="expression" dxfId="2235" priority="2477">
      <formula>$F66="-"</formula>
    </cfRule>
    <cfRule type="expression" dxfId="2234" priority="2479">
      <formula>G$3=$PQ66</formula>
    </cfRule>
    <cfRule type="expression" dxfId="2233" priority="2481">
      <formula>G$3=$PO66</formula>
    </cfRule>
    <cfRule type="expression" dxfId="2232" priority="2483">
      <formula>G$3=$PM66</formula>
    </cfRule>
    <cfRule type="expression" dxfId="2231" priority="2485">
      <formula>IF(AND(RIGHT(G66,1)=".",LEFT(G66,2)&lt;&gt;"T1",LEFT(G66,2)&lt;&gt;"T2",LEFT(G66,2)&lt;&gt;"T3",LEFT(G66,2)&lt;&gt;"T4",LEFT(G66,2)&lt;&gt;"T5",LEFT(G66,2)&lt;&gt;"T6",LEFT(G66,2)&lt;&gt;"T7",LEFT(G66,2)&lt;&gt;"T8",LEFT(G66,2)&lt;&gt;"T9"),1,0)</formula>
    </cfRule>
    <cfRule type="expression" dxfId="2230" priority="2487">
      <formula>IF($C66&gt;0,IF(G$4=7,1,0),0)</formula>
    </cfRule>
    <cfRule type="expression" dxfId="2229" priority="2489">
      <formula>$C66&gt;0</formula>
    </cfRule>
    <cfRule type="expression" dxfId="2228" priority="2491">
      <formula>IF(OR(G66="T1.",G66="T2.",G66="T3.",G66="T4.",G66="T5.",G66="T6.",G66="T7.",G66="T8.",G66="T9."),1,0)</formula>
    </cfRule>
    <cfRule type="endsWith" dxfId="2227" priority="2493" operator="endsWith" text="_A">
      <formula>RIGHT(G66,LEN("_A"))="_A"</formula>
    </cfRule>
    <cfRule type="endsWith" dxfId="2226" priority="2495" operator="endsWith" text="_e">
      <formula>RIGHT(G66,LEN("_e"))="_e"</formula>
    </cfRule>
    <cfRule type="beginsWith" dxfId="2225" priority="2497" operator="beginsWith" text="ME-TL-AS">
      <formula>LEFT(G66,LEN("ME-TL-AS"))="ME-TL-AS"</formula>
    </cfRule>
    <cfRule type="beginsWith" dxfId="2224" priority="2499" operator="beginsWith" text="T-AS">
      <formula>LEFT(G66,LEN("T-AS"))="T-AS"</formula>
    </cfRule>
    <cfRule type="beginsWith" dxfId="2223" priority="2501" operator="beginsWith" text="M-KL">
      <formula>LEFT(G66,LEN("M-KL"))="M-KL"</formula>
    </cfRule>
    <cfRule type="beginsWith" dxfId="2222" priority="2503" operator="beginsWith" text="Ss">
      <formula>LEFT(G66,LEN("Ss"))="Ss"</formula>
    </cfRule>
    <cfRule type="beginsWith" dxfId="2221" priority="2505" operator="beginsWith" text="AC">
      <formula>LEFT(G66,LEN("AC"))="AC"</formula>
    </cfRule>
    <cfRule type="beginsWith" dxfId="2220" priority="2507" operator="beginsWith" text="TT">
      <formula>LEFT(G66,LEN("TT"))="TT"</formula>
    </cfRule>
    <cfRule type="beginsWith" dxfId="2219" priority="2509" operator="beginsWith" text="S">
      <formula>LEFT(G66,LEN("S"))="S"</formula>
    </cfRule>
    <cfRule type="beginsWith" dxfId="2218" priority="2511" operator="beginsWith" text="PK">
      <formula>LEFT(G66,LEN("PK"))="PK"</formula>
    </cfRule>
    <cfRule type="beginsWith" dxfId="2217" priority="2513" operator="beginsWith" text="W">
      <formula>LEFT(G66,LEN("W"))="W"</formula>
    </cfRule>
    <cfRule type="beginsWith" dxfId="2216" priority="2515" operator="beginsWith" text="Id">
      <formula>LEFT(G66,LEN("Id"))="Id"</formula>
    </cfRule>
    <cfRule type="beginsWith" dxfId="2215" priority="2517" operator="beginsWith" text="K">
      <formula>LEFT(G66,LEN("K"))="K"</formula>
    </cfRule>
    <cfRule type="beginsWith" dxfId="2214" priority="2519" operator="beginsWith" text="Is-ME">
      <formula>LEFT(G66,LEN("Is-ME"))="Is-ME"</formula>
    </cfRule>
    <cfRule type="beginsWith" dxfId="2213" priority="2521" operator="beginsWith" text="Is-Fe">
      <formula>LEFT(G66,LEN("Is-Fe"))="Is-Fe"</formula>
    </cfRule>
    <cfRule type="beginsWith" dxfId="2212" priority="2523" operator="beginsWith" text="Is">
      <formula>LEFT(G66,LEN("Is"))="Is"</formula>
    </cfRule>
    <cfRule type="beginsWith" dxfId="2211" priority="2525" operator="beginsWith" text="T">
      <formula>LEFT(G66,LEN("T"))="T"</formula>
    </cfRule>
    <cfRule type="beginsWith" dxfId="2210" priority="2527" operator="beginsWith" text="Mg">
      <formula>LEFT(G66,LEN("Mg"))="Mg"</formula>
    </cfRule>
    <cfRule type="beginsWith" dxfId="2209" priority="2529" operator="beginsWith" text="VM">
      <formula>LEFT(G66,LEN("VM"))="VM"</formula>
    </cfRule>
    <cfRule type="beginsWith" dxfId="2208" priority="2531" operator="beginsWith" text="ZW5">
      <formula>LEFT(G66,LEN("ZW5"))="ZW5"</formula>
    </cfRule>
    <cfRule type="beginsWith" dxfId="2207" priority="2533" operator="beginsWith" text="ZW3">
      <formula>LEFT(G66,LEN("ZW3"))="ZW3"</formula>
    </cfRule>
    <cfRule type="beginsWith" dxfId="2206" priority="2535" operator="beginsWith" text="ZW1">
      <formula>LEFT(G66,LEN("ZW1"))="ZW1"</formula>
    </cfRule>
    <cfRule type="beginsWith" dxfId="2205" priority="2537" operator="beginsWith" text="EW6">
      <formula>LEFT(G66,LEN("EW6"))="EW6"</formula>
    </cfRule>
    <cfRule type="beginsWith" dxfId="2204" priority="2539" operator="beginsWith" text="EW4">
      <formula>LEFT(G66,LEN("EW4"))="EW4"</formula>
    </cfRule>
    <cfRule type="beginsWith" dxfId="2203" priority="2541" operator="beginsWith" text="EW2">
      <formula>LEFT(G66,LEN("EW2"))="EW2"</formula>
    </cfRule>
    <cfRule type="beginsWith" dxfId="2202" priority="2543" operator="beginsWith" text="M-AS">
      <formula>LEFT(G66,LEN("M-AS"))="M-AS"</formula>
    </cfRule>
    <cfRule type="beginsWith" dxfId="2201" priority="2545" operator="beginsWith" text="TLP">
      <formula>LEFT(G66,LEN("TLP"))="TLP"</formula>
    </cfRule>
    <cfRule type="beginsWith" dxfId="2200" priority="2547" operator="beginsWith" text="US">
      <formula>LEFT(G66,LEN("US"))="US"</formula>
    </cfRule>
    <cfRule type="beginsWith" dxfId="2199" priority="2549" operator="beginsWith" text="AS">
      <formula>LEFT(G66,LEN("AS"))="AS"</formula>
    </cfRule>
    <cfRule type="beginsWith" dxfId="2198" priority="2551" operator="beginsWith" text="M-iW">
      <formula>LEFT(G66,LEN("M-iW"))="M-iW"</formula>
    </cfRule>
    <cfRule type="beginsWith" dxfId="2197" priority="2553" operator="beginsWith" text="MB">
      <formula>LEFT(G66,LEN("MB"))="MB"</formula>
    </cfRule>
  </conditionalFormatting>
  <conditionalFormatting sqref="G66:NJ66">
    <cfRule type="expression" dxfId="2196" priority="2478">
      <formula>$F66="--"</formula>
    </cfRule>
    <cfRule type="expression" dxfId="2195" priority="2480">
      <formula>G$3=$PP66</formula>
    </cfRule>
    <cfRule type="expression" dxfId="2194" priority="2482">
      <formula>G$3=$PN66</formula>
    </cfRule>
    <cfRule type="expression" dxfId="2193" priority="2484">
      <formula>G$3=$PL66</formula>
    </cfRule>
    <cfRule type="expression" dxfId="2192" priority="2486">
      <formula>IF(G66=0,IF(OR(G$4=6,G$4=7,G$5=1),1,0),0)</formula>
    </cfRule>
    <cfRule type="expression" dxfId="2191" priority="2488">
      <formula>IF($C66&gt;0,IF(G$4=1,1,0),0)</formula>
    </cfRule>
    <cfRule type="expression" dxfId="2190" priority="2490">
      <formula>IF(OR(G66="T1..",G66="T2..",G66="T3..",G66="T4..",G66="T5..",G66="T6..",G66="T7..",G66="T8..",G66="T9.."),1,0)</formula>
    </cfRule>
    <cfRule type="expression" dxfId="2189" priority="2492">
      <formula>IF(OR(G66="T1",G66="T2",G66="T3",G66="T4",G66="T5",G66="T6",G66="T7",G66="T8",G66="T9"),1,0)</formula>
    </cfRule>
    <cfRule type="endsWith" dxfId="2188" priority="2494" operator="endsWith" text="_x">
      <formula>RIGHT(G66,LEN("_x"))="_x"</formula>
    </cfRule>
    <cfRule type="beginsWith" dxfId="2187" priority="2496" operator="beginsWith" text="AS-TL">
      <formula>LEFT(G66,LEN("AS-TL"))="AS-TL"</formula>
    </cfRule>
    <cfRule type="beginsWith" dxfId="2186" priority="2498" operator="beginsWith" text="tbs">
      <formula>LEFT(G66,LEN("tbs"))="tbs"</formula>
    </cfRule>
    <cfRule type="beginsWith" dxfId="2185" priority="2500" operator="beginsWith" text="TL-AS">
      <formula>LEFT(G66,LEN("TL-AS"))="TL-AS"</formula>
    </cfRule>
    <cfRule type="beginsWith" dxfId="2184" priority="2502" operator="beginsWith" text="L">
      <formula>LEFT(G66,LEN("L"))="L"</formula>
    </cfRule>
    <cfRule type="beginsWith" dxfId="2183" priority="2504" operator="beginsWith" text="DC">
      <formula>LEFT(G66,LEN("DC"))="DC"</formula>
    </cfRule>
    <cfRule type="beginsWith" dxfId="2182" priority="2506" operator="beginsWith" text="FP">
      <formula>LEFT(G66,LEN("FP"))="FP"</formula>
    </cfRule>
    <cfRule type="beginsWith" dxfId="2181" priority="2508" operator="beginsWith" text="M-TT">
      <formula>LEFT(G66,LEN("M-TT"))="M-TT"</formula>
    </cfRule>
    <cfRule type="beginsWith" dxfId="2180" priority="2510" operator="beginsWith" text="Ü">
      <formula>LEFT(G66,LEN("Ü"))="Ü"</formula>
    </cfRule>
    <cfRule type="beginsWith" dxfId="2179" priority="2512" operator="beginsWith" text="iW">
      <formula>LEFT(G66,LEN("iW"))="iW"</formula>
    </cfRule>
    <cfRule type="beginsWith" dxfId="2178" priority="2514" operator="beginsWith" text="D">
      <formula>LEFT(G66,LEN("D"))="D"</formula>
    </cfRule>
    <cfRule type="beginsWith" dxfId="2177" priority="2516" operator="beginsWith" text="Kde">
      <formula>LEFT(G66,LEN("Kde"))="Kde"</formula>
    </cfRule>
    <cfRule type="beginsWith" dxfId="2176" priority="2518" operator="beginsWith" text="P">
      <formula>LEFT(G66,LEN("P"))="P"</formula>
    </cfRule>
    <cfRule type="beginsWith" dxfId="2175" priority="2520" operator="beginsWith" text="Is-M">
      <formula>LEFT(G66,LEN("Is-M"))="Is-M"</formula>
    </cfRule>
    <cfRule type="beginsWith" dxfId="2174" priority="2522" operator="beginsWith" text="Is-Id">
      <formula>LEFT(G66,LEN("Is-Id"))="Is-Id"</formula>
    </cfRule>
    <cfRule type="beginsWith" dxfId="2173" priority="2524" operator="beginsWith" text="M-Is">
      <formula>LEFT(G66,LEN("M-Is"))="M-Is"</formula>
    </cfRule>
    <cfRule type="beginsWith" dxfId="2172" priority="2526" operator="beginsWith" text="M-Fe">
      <formula>LEFT(G66,LEN("M-Fe"))="M-Fe"</formula>
    </cfRule>
    <cfRule type="beginsWith" dxfId="2171" priority="2528" operator="beginsWith" text="M-TP">
      <formula>LEFT(G66,LEN("M-TP"))="M-TP"</formula>
    </cfRule>
    <cfRule type="beginsWith" dxfId="2170" priority="2530" operator="beginsWith" text="ZW6">
      <formula>LEFT(G66,LEN("ZW6"))="ZW6"</formula>
    </cfRule>
    <cfRule type="beginsWith" dxfId="2169" priority="2532" operator="beginsWith" text="ZW4">
      <formula>LEFT(G66,LEN("ZW4"))="ZW4"</formula>
    </cfRule>
    <cfRule type="beginsWith" dxfId="2168" priority="2534" operator="beginsWith" text="ZW2">
      <formula>LEFT(G66,LEN("ZW2"))="ZW2"</formula>
    </cfRule>
    <cfRule type="beginsWith" dxfId="2167" priority="2536" operator="beginsWith" text="ZW0">
      <formula>LEFT(G66,LEN("ZW0"))="ZW0"</formula>
    </cfRule>
    <cfRule type="beginsWith" dxfId="2166" priority="2538" operator="beginsWith" text="EW5">
      <formula>LEFT(G66,LEN("EW5"))="EW5"</formula>
    </cfRule>
    <cfRule type="beginsWith" dxfId="2165" priority="2540" operator="beginsWith" text="EW3">
      <formula>LEFT(G66,LEN("EW3"))="EW3"</formula>
    </cfRule>
    <cfRule type="beginsWith" dxfId="2164" priority="2542" operator="beginsWith" text="EW1">
      <formula>LEFT(G66,LEN("EW1"))="EW1"</formula>
    </cfRule>
    <cfRule type="beginsWith" dxfId="2163" priority="2544" operator="beginsWith" text="TL-AS">
      <formula>LEFT(G66,LEN("TL-AS"))="TL-AS"</formula>
    </cfRule>
    <cfRule type="beginsWith" dxfId="2162" priority="2546" operator="beginsWith" text="TL">
      <formula>LEFT(G66,LEN("TL"))="TL"</formula>
    </cfRule>
    <cfRule type="beginsWith" dxfId="2161" priority="2548" operator="beginsWith" text="AF">
      <formula>LEFT(G66,LEN("AF"))="AF"</formula>
    </cfRule>
    <cfRule type="beginsWith" dxfId="2160" priority="2550" operator="beginsWith" text="M-DG">
      <formula>LEFT(G66,LEN("M-DG"))="M-DG"</formula>
    </cfRule>
    <cfRule type="beginsWith" dxfId="2159" priority="2552" operator="beginsWith" text="M-Kde">
      <formula>LEFT(G66,LEN("M-Kde"))="M-Kde"</formula>
    </cfRule>
  </conditionalFormatting>
  <conditionalFormatting sqref="G66:NJ66">
    <cfRule type="beginsWith" dxfId="2158" priority="2476" operator="beginsWith" text="M">
      <formula>LEFT(G66,LEN("M"))="M"</formula>
    </cfRule>
  </conditionalFormatting>
  <conditionalFormatting sqref="G66:NJ66">
    <cfRule type="beginsWith" dxfId="2157" priority="2475" operator="beginsWith" text="Is-MB">
      <formula>LEFT(G66,LEN("Is-MB"))="Is-MB"</formula>
    </cfRule>
  </conditionalFormatting>
  <conditionalFormatting sqref="G66:NJ66">
    <cfRule type="beginsWith" dxfId="2156" priority="2474" operator="beginsWith" text="Y">
      <formula>LEFT(G66,LEN("Y"))="Y"</formula>
    </cfRule>
  </conditionalFormatting>
  <conditionalFormatting sqref="G66:NJ66">
    <cfRule type="beginsWith" dxfId="2155" priority="2473" operator="beginsWith" text="M-FP">
      <formula>LEFT(G66,LEN("M-FP"))="M-FP"</formula>
    </cfRule>
  </conditionalFormatting>
  <conditionalFormatting sqref="G66:NJ66">
    <cfRule type="beginsWith" dxfId="2154" priority="2472" operator="beginsWith" text="ME">
      <formula>LEFT(G66,LEN("ME"))="ME"</formula>
    </cfRule>
  </conditionalFormatting>
  <conditionalFormatting sqref="G66:NJ66">
    <cfRule type="beginsWith" dxfId="2153" priority="2471" operator="beginsWith" text="ME-TL">
      <formula>LEFT(G66,LEN("ME-TL"))="ME-TL"</formula>
    </cfRule>
  </conditionalFormatting>
  <conditionalFormatting sqref="G66:NJ66">
    <cfRule type="beginsWith" dxfId="2152" priority="2470" operator="beginsWith" text="M-W">
      <formula>LEFT(G66,LEN("M-W"))="M-W"</formula>
    </cfRule>
  </conditionalFormatting>
  <conditionalFormatting sqref="A66:E66">
    <cfRule type="expression" dxfId="2151" priority="2554">
      <formula>IF(AND($A66=$A67,#REF!=#REF!,$B66=$B67),0,1)</formula>
    </cfRule>
  </conditionalFormatting>
  <conditionalFormatting sqref="A66:E66">
    <cfRule type="expression" dxfId="2150" priority="2555">
      <formula>$F66="--"</formula>
    </cfRule>
  </conditionalFormatting>
  <conditionalFormatting sqref="A66:E66">
    <cfRule type="expression" dxfId="2149" priority="2556">
      <formula>$F66="-"</formula>
    </cfRule>
  </conditionalFormatting>
  <conditionalFormatting sqref="G70:NJ70">
    <cfRule type="expression" dxfId="2148" priority="2390">
      <formula>$F70="-"</formula>
    </cfRule>
    <cfRule type="expression" dxfId="2147" priority="2392">
      <formula>G$3=$PQ70</formula>
    </cfRule>
    <cfRule type="expression" dxfId="2146" priority="2394">
      <formula>G$3=$PO70</formula>
    </cfRule>
    <cfRule type="expression" dxfId="2145" priority="2396">
      <formula>G$3=$PM70</formula>
    </cfRule>
    <cfRule type="expression" dxfId="2144" priority="2398">
      <formula>IF(AND(RIGHT(G70,1)=".",LEFT(G70,2)&lt;&gt;"T1",LEFT(G70,2)&lt;&gt;"T2",LEFT(G70,2)&lt;&gt;"T3",LEFT(G70,2)&lt;&gt;"T4",LEFT(G70,2)&lt;&gt;"T5",LEFT(G70,2)&lt;&gt;"T6",LEFT(G70,2)&lt;&gt;"T7",LEFT(G70,2)&lt;&gt;"T8",LEFT(G70,2)&lt;&gt;"T9"),1,0)</formula>
    </cfRule>
    <cfRule type="expression" dxfId="2143" priority="2400">
      <formula>IF($C70&gt;0,IF(G$4=7,1,0),0)</formula>
    </cfRule>
    <cfRule type="expression" dxfId="2142" priority="2402">
      <formula>$C70&gt;0</formula>
    </cfRule>
    <cfRule type="expression" dxfId="2141" priority="2404">
      <formula>IF(OR(G70="T1.",G70="T2.",G70="T3.",G70="T4.",G70="T5.",G70="T6.",G70="T7.",G70="T8.",G70="T9."),1,0)</formula>
    </cfRule>
    <cfRule type="endsWith" dxfId="2140" priority="2406" operator="endsWith" text="_A">
      <formula>RIGHT(G70,LEN("_A"))="_A"</formula>
    </cfRule>
    <cfRule type="endsWith" dxfId="2139" priority="2408" operator="endsWith" text="_e">
      <formula>RIGHT(G70,LEN("_e"))="_e"</formula>
    </cfRule>
    <cfRule type="beginsWith" dxfId="2138" priority="2410" operator="beginsWith" text="ME-TL-AS">
      <formula>LEFT(G70,LEN("ME-TL-AS"))="ME-TL-AS"</formula>
    </cfRule>
    <cfRule type="beginsWith" dxfId="2137" priority="2412" operator="beginsWith" text="T-AS">
      <formula>LEFT(G70,LEN("T-AS"))="T-AS"</formula>
    </cfRule>
    <cfRule type="beginsWith" dxfId="2136" priority="2414" operator="beginsWith" text="M-KL">
      <formula>LEFT(G70,LEN("M-KL"))="M-KL"</formula>
    </cfRule>
    <cfRule type="beginsWith" dxfId="2135" priority="2416" operator="beginsWith" text="Ss">
      <formula>LEFT(G70,LEN("Ss"))="Ss"</formula>
    </cfRule>
    <cfRule type="beginsWith" dxfId="2134" priority="2418" operator="beginsWith" text="AC">
      <formula>LEFT(G70,LEN("AC"))="AC"</formula>
    </cfRule>
    <cfRule type="beginsWith" dxfId="2133" priority="2420" operator="beginsWith" text="TT">
      <formula>LEFT(G70,LEN("TT"))="TT"</formula>
    </cfRule>
    <cfRule type="beginsWith" dxfId="2132" priority="2422" operator="beginsWith" text="S">
      <formula>LEFT(G70,LEN("S"))="S"</formula>
    </cfRule>
    <cfRule type="beginsWith" dxfId="2131" priority="2424" operator="beginsWith" text="PK">
      <formula>LEFT(G70,LEN("PK"))="PK"</formula>
    </cfRule>
    <cfRule type="beginsWith" dxfId="2130" priority="2426" operator="beginsWith" text="W">
      <formula>LEFT(G70,LEN("W"))="W"</formula>
    </cfRule>
    <cfRule type="beginsWith" dxfId="2129" priority="2428" operator="beginsWith" text="Id">
      <formula>LEFT(G70,LEN("Id"))="Id"</formula>
    </cfRule>
    <cfRule type="beginsWith" dxfId="2128" priority="2430" operator="beginsWith" text="K">
      <formula>LEFT(G70,LEN("K"))="K"</formula>
    </cfRule>
    <cfRule type="beginsWith" dxfId="2127" priority="2432" operator="beginsWith" text="Is-ME">
      <formula>LEFT(G70,LEN("Is-ME"))="Is-ME"</formula>
    </cfRule>
    <cfRule type="beginsWith" dxfId="2126" priority="2434" operator="beginsWith" text="Is-Fe">
      <formula>LEFT(G70,LEN("Is-Fe"))="Is-Fe"</formula>
    </cfRule>
    <cfRule type="beginsWith" dxfId="2125" priority="2436" operator="beginsWith" text="Is">
      <formula>LEFT(G70,LEN("Is"))="Is"</formula>
    </cfRule>
    <cfRule type="beginsWith" dxfId="2124" priority="2438" operator="beginsWith" text="T">
      <formula>LEFT(G70,LEN("T"))="T"</formula>
    </cfRule>
    <cfRule type="beginsWith" dxfId="2123" priority="2440" operator="beginsWith" text="Mg">
      <formula>LEFT(G70,LEN("Mg"))="Mg"</formula>
    </cfRule>
    <cfRule type="beginsWith" dxfId="2122" priority="2442" operator="beginsWith" text="VM">
      <formula>LEFT(G70,LEN("VM"))="VM"</formula>
    </cfRule>
    <cfRule type="beginsWith" dxfId="2121" priority="2444" operator="beginsWith" text="ZW5">
      <formula>LEFT(G70,LEN("ZW5"))="ZW5"</formula>
    </cfRule>
    <cfRule type="beginsWith" dxfId="2120" priority="2446" operator="beginsWith" text="ZW3">
      <formula>LEFT(G70,LEN("ZW3"))="ZW3"</formula>
    </cfRule>
    <cfRule type="beginsWith" dxfId="2119" priority="2448" operator="beginsWith" text="ZW1">
      <formula>LEFT(G70,LEN("ZW1"))="ZW1"</formula>
    </cfRule>
    <cfRule type="beginsWith" dxfId="2118" priority="2450" operator="beginsWith" text="EW6">
      <formula>LEFT(G70,LEN("EW6"))="EW6"</formula>
    </cfRule>
    <cfRule type="beginsWith" dxfId="2117" priority="2452" operator="beginsWith" text="EW4">
      <formula>LEFT(G70,LEN("EW4"))="EW4"</formula>
    </cfRule>
    <cfRule type="beginsWith" dxfId="2116" priority="2454" operator="beginsWith" text="EW2">
      <formula>LEFT(G70,LEN("EW2"))="EW2"</formula>
    </cfRule>
    <cfRule type="beginsWith" dxfId="2115" priority="2456" operator="beginsWith" text="M-AS">
      <formula>LEFT(G70,LEN("M-AS"))="M-AS"</formula>
    </cfRule>
    <cfRule type="beginsWith" dxfId="2114" priority="2458" operator="beginsWith" text="TLP">
      <formula>LEFT(G70,LEN("TLP"))="TLP"</formula>
    </cfRule>
    <cfRule type="beginsWith" dxfId="2113" priority="2460" operator="beginsWith" text="US">
      <formula>LEFT(G70,LEN("US"))="US"</formula>
    </cfRule>
    <cfRule type="beginsWith" dxfId="2112" priority="2462" operator="beginsWith" text="AS">
      <formula>LEFT(G70,LEN("AS"))="AS"</formula>
    </cfRule>
    <cfRule type="beginsWith" dxfId="2111" priority="2464" operator="beginsWith" text="M-iW">
      <formula>LEFT(G70,LEN("M-iW"))="M-iW"</formula>
    </cfRule>
    <cfRule type="beginsWith" dxfId="2110" priority="2466" operator="beginsWith" text="MB">
      <formula>LEFT(G70,LEN("MB"))="MB"</formula>
    </cfRule>
  </conditionalFormatting>
  <conditionalFormatting sqref="G70:NJ70">
    <cfRule type="expression" dxfId="2109" priority="2391">
      <formula>$F70="--"</formula>
    </cfRule>
    <cfRule type="expression" dxfId="2108" priority="2393">
      <formula>G$3=$PP70</formula>
    </cfRule>
    <cfRule type="expression" dxfId="2107" priority="2395">
      <formula>G$3=$PN70</formula>
    </cfRule>
    <cfRule type="expression" dxfId="2106" priority="2397">
      <formula>G$3=$PL70</formula>
    </cfRule>
    <cfRule type="expression" dxfId="2105" priority="2399">
      <formula>IF(G70=0,IF(OR(G$4=6,G$4=7,G$5=1),1,0),0)</formula>
    </cfRule>
    <cfRule type="expression" dxfId="2104" priority="2401">
      <formula>IF($C70&gt;0,IF(G$4=1,1,0),0)</formula>
    </cfRule>
    <cfRule type="expression" dxfId="2103" priority="2403">
      <formula>IF(OR(G70="T1..",G70="T2..",G70="T3..",G70="T4..",G70="T5..",G70="T6..",G70="T7..",G70="T8..",G70="T9.."),1,0)</formula>
    </cfRule>
    <cfRule type="expression" dxfId="2102" priority="2405">
      <formula>IF(OR(G70="T1",G70="T2",G70="T3",G70="T4",G70="T5",G70="T6",G70="T7",G70="T8",G70="T9"),1,0)</formula>
    </cfRule>
    <cfRule type="endsWith" dxfId="2101" priority="2407" operator="endsWith" text="_x">
      <formula>RIGHT(G70,LEN("_x"))="_x"</formula>
    </cfRule>
    <cfRule type="beginsWith" dxfId="2100" priority="2409" operator="beginsWith" text="AS-TL">
      <formula>LEFT(G70,LEN("AS-TL"))="AS-TL"</formula>
    </cfRule>
    <cfRule type="beginsWith" dxfId="2099" priority="2411" operator="beginsWith" text="tbs">
      <formula>LEFT(G70,LEN("tbs"))="tbs"</formula>
    </cfRule>
    <cfRule type="beginsWith" dxfId="2098" priority="2413" operator="beginsWith" text="TL-AS">
      <formula>LEFT(G70,LEN("TL-AS"))="TL-AS"</formula>
    </cfRule>
    <cfRule type="beginsWith" dxfId="2097" priority="2415" operator="beginsWith" text="L">
      <formula>LEFT(G70,LEN("L"))="L"</formula>
    </cfRule>
    <cfRule type="beginsWith" dxfId="2096" priority="2417" operator="beginsWith" text="DC">
      <formula>LEFT(G70,LEN("DC"))="DC"</formula>
    </cfRule>
    <cfRule type="beginsWith" dxfId="2095" priority="2419" operator="beginsWith" text="FP">
      <formula>LEFT(G70,LEN("FP"))="FP"</formula>
    </cfRule>
    <cfRule type="beginsWith" dxfId="2094" priority="2421" operator="beginsWith" text="M-TT">
      <formula>LEFT(G70,LEN("M-TT"))="M-TT"</formula>
    </cfRule>
    <cfRule type="beginsWith" dxfId="2093" priority="2423" operator="beginsWith" text="Ü">
      <formula>LEFT(G70,LEN("Ü"))="Ü"</formula>
    </cfRule>
    <cfRule type="beginsWith" dxfId="2092" priority="2425" operator="beginsWith" text="iW">
      <formula>LEFT(G70,LEN("iW"))="iW"</formula>
    </cfRule>
    <cfRule type="beginsWith" dxfId="2091" priority="2427" operator="beginsWith" text="D">
      <formula>LEFT(G70,LEN("D"))="D"</formula>
    </cfRule>
    <cfRule type="beginsWith" dxfId="2090" priority="2429" operator="beginsWith" text="Kde">
      <formula>LEFT(G70,LEN("Kde"))="Kde"</formula>
    </cfRule>
    <cfRule type="beginsWith" dxfId="2089" priority="2431" operator="beginsWith" text="P">
      <formula>LEFT(G70,LEN("P"))="P"</formula>
    </cfRule>
    <cfRule type="beginsWith" dxfId="2088" priority="2433" operator="beginsWith" text="Is-M">
      <formula>LEFT(G70,LEN("Is-M"))="Is-M"</formula>
    </cfRule>
    <cfRule type="beginsWith" dxfId="2087" priority="2435" operator="beginsWith" text="Is-Id">
      <formula>LEFT(G70,LEN("Is-Id"))="Is-Id"</formula>
    </cfRule>
    <cfRule type="beginsWith" dxfId="2086" priority="2437" operator="beginsWith" text="M-Is">
      <formula>LEFT(G70,LEN("M-Is"))="M-Is"</formula>
    </cfRule>
    <cfRule type="beginsWith" dxfId="2085" priority="2439" operator="beginsWith" text="M-Fe">
      <formula>LEFT(G70,LEN("M-Fe"))="M-Fe"</formula>
    </cfRule>
    <cfRule type="beginsWith" dxfId="2084" priority="2441" operator="beginsWith" text="M-TP">
      <formula>LEFT(G70,LEN("M-TP"))="M-TP"</formula>
    </cfRule>
    <cfRule type="beginsWith" dxfId="2083" priority="2443" operator="beginsWith" text="ZW6">
      <formula>LEFT(G70,LEN("ZW6"))="ZW6"</formula>
    </cfRule>
    <cfRule type="beginsWith" dxfId="2082" priority="2445" operator="beginsWith" text="ZW4">
      <formula>LEFT(G70,LEN("ZW4"))="ZW4"</formula>
    </cfRule>
    <cfRule type="beginsWith" dxfId="2081" priority="2447" operator="beginsWith" text="ZW2">
      <formula>LEFT(G70,LEN("ZW2"))="ZW2"</formula>
    </cfRule>
    <cfRule type="beginsWith" dxfId="2080" priority="2449" operator="beginsWith" text="ZW0">
      <formula>LEFT(G70,LEN("ZW0"))="ZW0"</formula>
    </cfRule>
    <cfRule type="beginsWith" dxfId="2079" priority="2451" operator="beginsWith" text="EW5">
      <formula>LEFT(G70,LEN("EW5"))="EW5"</formula>
    </cfRule>
    <cfRule type="beginsWith" dxfId="2078" priority="2453" operator="beginsWith" text="EW3">
      <formula>LEFT(G70,LEN("EW3"))="EW3"</formula>
    </cfRule>
    <cfRule type="beginsWith" dxfId="2077" priority="2455" operator="beginsWith" text="EW1">
      <formula>LEFT(G70,LEN("EW1"))="EW1"</formula>
    </cfRule>
    <cfRule type="beginsWith" dxfId="2076" priority="2457" operator="beginsWith" text="TL-AS">
      <formula>LEFT(G70,LEN("TL-AS"))="TL-AS"</formula>
    </cfRule>
    <cfRule type="beginsWith" dxfId="2075" priority="2459" operator="beginsWith" text="TL">
      <formula>LEFT(G70,LEN("TL"))="TL"</formula>
    </cfRule>
    <cfRule type="beginsWith" dxfId="2074" priority="2461" operator="beginsWith" text="AF">
      <formula>LEFT(G70,LEN("AF"))="AF"</formula>
    </cfRule>
    <cfRule type="beginsWith" dxfId="2073" priority="2463" operator="beginsWith" text="M-DG">
      <formula>LEFT(G70,LEN("M-DG"))="M-DG"</formula>
    </cfRule>
    <cfRule type="beginsWith" dxfId="2072" priority="2465" operator="beginsWith" text="M-Kde">
      <formula>LEFT(G70,LEN("M-Kde"))="M-Kde"</formula>
    </cfRule>
  </conditionalFormatting>
  <conditionalFormatting sqref="G70:NJ70">
    <cfRule type="beginsWith" dxfId="2071" priority="2389" operator="beginsWith" text="M">
      <formula>LEFT(G70,LEN("M"))="M"</formula>
    </cfRule>
  </conditionalFormatting>
  <conditionalFormatting sqref="G70:NJ70">
    <cfRule type="beginsWith" dxfId="2070" priority="2388" operator="beginsWith" text="Is-MB">
      <formula>LEFT(G70,LEN("Is-MB"))="Is-MB"</formula>
    </cfRule>
  </conditionalFormatting>
  <conditionalFormatting sqref="G70:NJ70">
    <cfRule type="beginsWith" dxfId="2069" priority="2387" operator="beginsWith" text="Y">
      <formula>LEFT(G70,LEN("Y"))="Y"</formula>
    </cfRule>
  </conditionalFormatting>
  <conditionalFormatting sqref="G70:NJ70">
    <cfRule type="beginsWith" dxfId="2068" priority="2386" operator="beginsWith" text="M-FP">
      <formula>LEFT(G70,LEN("M-FP"))="M-FP"</formula>
    </cfRule>
  </conditionalFormatting>
  <conditionalFormatting sqref="G70:NJ70">
    <cfRule type="beginsWith" dxfId="2067" priority="2385" operator="beginsWith" text="ME">
      <formula>LEFT(G70,LEN("ME"))="ME"</formula>
    </cfRule>
  </conditionalFormatting>
  <conditionalFormatting sqref="G70:NJ70">
    <cfRule type="beginsWith" dxfId="2066" priority="2384" operator="beginsWith" text="ME-TL">
      <formula>LEFT(G70,LEN("ME-TL"))="ME-TL"</formula>
    </cfRule>
  </conditionalFormatting>
  <conditionalFormatting sqref="G70:NJ70">
    <cfRule type="beginsWith" dxfId="2065" priority="2383" operator="beginsWith" text="M-W">
      <formula>LEFT(G70,LEN("M-W"))="M-W"</formula>
    </cfRule>
  </conditionalFormatting>
  <conditionalFormatting sqref="A70:E70">
    <cfRule type="expression" dxfId="2064" priority="2467">
      <formula>IF(AND($A70=$A71,#REF!=#REF!,$B70=$B71),0,1)</formula>
    </cfRule>
  </conditionalFormatting>
  <conditionalFormatting sqref="A70:E70">
    <cfRule type="expression" dxfId="2063" priority="2468">
      <formula>$F70="--"</formula>
    </cfRule>
  </conditionalFormatting>
  <conditionalFormatting sqref="A70:E70">
    <cfRule type="expression" dxfId="2062" priority="2469">
      <formula>$F70="-"</formula>
    </cfRule>
  </conditionalFormatting>
  <conditionalFormatting sqref="G74:NJ74">
    <cfRule type="expression" dxfId="2061" priority="2303">
      <formula>$F74="-"</formula>
    </cfRule>
    <cfRule type="expression" dxfId="2060" priority="2305">
      <formula>G$3=$PQ74</formula>
    </cfRule>
    <cfRule type="expression" dxfId="2059" priority="2307">
      <formula>G$3=$PO74</formula>
    </cfRule>
    <cfRule type="expression" dxfId="2058" priority="2309">
      <formula>G$3=$PM74</formula>
    </cfRule>
    <cfRule type="expression" dxfId="2057" priority="2311">
      <formula>IF(AND(RIGHT(G74,1)=".",LEFT(G74,2)&lt;&gt;"T1",LEFT(G74,2)&lt;&gt;"T2",LEFT(G74,2)&lt;&gt;"T3",LEFT(G74,2)&lt;&gt;"T4",LEFT(G74,2)&lt;&gt;"T5",LEFT(G74,2)&lt;&gt;"T6",LEFT(G74,2)&lt;&gt;"T7",LEFT(G74,2)&lt;&gt;"T8",LEFT(G74,2)&lt;&gt;"T9"),1,0)</formula>
    </cfRule>
    <cfRule type="expression" dxfId="2056" priority="2313">
      <formula>IF($C74&gt;0,IF(G$4=7,1,0),0)</formula>
    </cfRule>
    <cfRule type="expression" dxfId="2055" priority="2315">
      <formula>$C74&gt;0</formula>
    </cfRule>
    <cfRule type="expression" dxfId="2054" priority="2317">
      <formula>IF(OR(G74="T1.",G74="T2.",G74="T3.",G74="T4.",G74="T5.",G74="T6.",G74="T7.",G74="T8.",G74="T9."),1,0)</formula>
    </cfRule>
    <cfRule type="endsWith" dxfId="2053" priority="2319" operator="endsWith" text="_A">
      <formula>RIGHT(G74,LEN("_A"))="_A"</formula>
    </cfRule>
    <cfRule type="endsWith" dxfId="2052" priority="2321" operator="endsWith" text="_e">
      <formula>RIGHT(G74,LEN("_e"))="_e"</formula>
    </cfRule>
    <cfRule type="beginsWith" dxfId="2051" priority="2323" operator="beginsWith" text="ME-TL-AS">
      <formula>LEFT(G74,LEN("ME-TL-AS"))="ME-TL-AS"</formula>
    </cfRule>
    <cfRule type="beginsWith" dxfId="2050" priority="2325" operator="beginsWith" text="T-AS">
      <formula>LEFT(G74,LEN("T-AS"))="T-AS"</formula>
    </cfRule>
    <cfRule type="beginsWith" dxfId="2049" priority="2327" operator="beginsWith" text="M-KL">
      <formula>LEFT(G74,LEN("M-KL"))="M-KL"</formula>
    </cfRule>
    <cfRule type="beginsWith" dxfId="2048" priority="2329" operator="beginsWith" text="Ss">
      <formula>LEFT(G74,LEN("Ss"))="Ss"</formula>
    </cfRule>
    <cfRule type="beginsWith" dxfId="2047" priority="2331" operator="beginsWith" text="AC">
      <formula>LEFT(G74,LEN("AC"))="AC"</formula>
    </cfRule>
    <cfRule type="beginsWith" dxfId="2046" priority="2333" operator="beginsWith" text="TT">
      <formula>LEFT(G74,LEN("TT"))="TT"</formula>
    </cfRule>
    <cfRule type="beginsWith" dxfId="2045" priority="2335" operator="beginsWith" text="S">
      <formula>LEFT(G74,LEN("S"))="S"</formula>
    </cfRule>
    <cfRule type="beginsWith" dxfId="2044" priority="2337" operator="beginsWith" text="PK">
      <formula>LEFT(G74,LEN("PK"))="PK"</formula>
    </cfRule>
    <cfRule type="beginsWith" dxfId="2043" priority="2339" operator="beginsWith" text="W">
      <formula>LEFT(G74,LEN("W"))="W"</formula>
    </cfRule>
    <cfRule type="beginsWith" dxfId="2042" priority="2341" operator="beginsWith" text="Id">
      <formula>LEFT(G74,LEN("Id"))="Id"</formula>
    </cfRule>
    <cfRule type="beginsWith" dxfId="2041" priority="2343" operator="beginsWith" text="K">
      <formula>LEFT(G74,LEN("K"))="K"</formula>
    </cfRule>
    <cfRule type="beginsWith" dxfId="2040" priority="2345" operator="beginsWith" text="Is-ME">
      <formula>LEFT(G74,LEN("Is-ME"))="Is-ME"</formula>
    </cfRule>
    <cfRule type="beginsWith" dxfId="2039" priority="2347" operator="beginsWith" text="Is-Fe">
      <formula>LEFT(G74,LEN("Is-Fe"))="Is-Fe"</formula>
    </cfRule>
    <cfRule type="beginsWith" dxfId="2038" priority="2349" operator="beginsWith" text="Is">
      <formula>LEFT(G74,LEN("Is"))="Is"</formula>
    </cfRule>
    <cfRule type="beginsWith" dxfId="2037" priority="2351" operator="beginsWith" text="T">
      <formula>LEFT(G74,LEN("T"))="T"</formula>
    </cfRule>
    <cfRule type="beginsWith" dxfId="2036" priority="2353" operator="beginsWith" text="Mg">
      <formula>LEFT(G74,LEN("Mg"))="Mg"</formula>
    </cfRule>
    <cfRule type="beginsWith" dxfId="2035" priority="2355" operator="beginsWith" text="VM">
      <formula>LEFT(G74,LEN("VM"))="VM"</formula>
    </cfRule>
    <cfRule type="beginsWith" dxfId="2034" priority="2357" operator="beginsWith" text="ZW5">
      <formula>LEFT(G74,LEN("ZW5"))="ZW5"</formula>
    </cfRule>
    <cfRule type="beginsWith" dxfId="2033" priority="2359" operator="beginsWith" text="ZW3">
      <formula>LEFT(G74,LEN("ZW3"))="ZW3"</formula>
    </cfRule>
    <cfRule type="beginsWith" dxfId="2032" priority="2361" operator="beginsWith" text="ZW1">
      <formula>LEFT(G74,LEN("ZW1"))="ZW1"</formula>
    </cfRule>
    <cfRule type="beginsWith" dxfId="2031" priority="2363" operator="beginsWith" text="EW6">
      <formula>LEFT(G74,LEN("EW6"))="EW6"</formula>
    </cfRule>
    <cfRule type="beginsWith" dxfId="2030" priority="2365" operator="beginsWith" text="EW4">
      <formula>LEFT(G74,LEN("EW4"))="EW4"</formula>
    </cfRule>
    <cfRule type="beginsWith" dxfId="2029" priority="2367" operator="beginsWith" text="EW2">
      <formula>LEFT(G74,LEN("EW2"))="EW2"</formula>
    </cfRule>
    <cfRule type="beginsWith" dxfId="2028" priority="2369" operator="beginsWith" text="M-AS">
      <formula>LEFT(G74,LEN("M-AS"))="M-AS"</formula>
    </cfRule>
    <cfRule type="beginsWith" dxfId="2027" priority="2371" operator="beginsWith" text="TLP">
      <formula>LEFT(G74,LEN("TLP"))="TLP"</formula>
    </cfRule>
    <cfRule type="beginsWith" dxfId="2026" priority="2373" operator="beginsWith" text="US">
      <formula>LEFT(G74,LEN("US"))="US"</formula>
    </cfRule>
    <cfRule type="beginsWith" dxfId="2025" priority="2375" operator="beginsWith" text="AS">
      <formula>LEFT(G74,LEN("AS"))="AS"</formula>
    </cfRule>
    <cfRule type="beginsWith" dxfId="2024" priority="2377" operator="beginsWith" text="M-iW">
      <formula>LEFT(G74,LEN("M-iW"))="M-iW"</formula>
    </cfRule>
    <cfRule type="beginsWith" dxfId="2023" priority="2379" operator="beginsWith" text="MB">
      <formula>LEFT(G74,LEN("MB"))="MB"</formula>
    </cfRule>
  </conditionalFormatting>
  <conditionalFormatting sqref="G74:NJ74">
    <cfRule type="expression" dxfId="2022" priority="2304">
      <formula>$F74="--"</formula>
    </cfRule>
    <cfRule type="expression" dxfId="2021" priority="2306">
      <formula>G$3=$PP74</formula>
    </cfRule>
    <cfRule type="expression" dxfId="2020" priority="2308">
      <formula>G$3=$PN74</formula>
    </cfRule>
    <cfRule type="expression" dxfId="2019" priority="2310">
      <formula>G$3=$PL74</formula>
    </cfRule>
    <cfRule type="expression" dxfId="2018" priority="2312">
      <formula>IF(G74=0,IF(OR(G$4=6,G$4=7,G$5=1),1,0),0)</formula>
    </cfRule>
    <cfRule type="expression" dxfId="2017" priority="2314">
      <formula>IF($C74&gt;0,IF(G$4=1,1,0),0)</formula>
    </cfRule>
    <cfRule type="expression" dxfId="2016" priority="2316">
      <formula>IF(OR(G74="T1..",G74="T2..",G74="T3..",G74="T4..",G74="T5..",G74="T6..",G74="T7..",G74="T8..",G74="T9.."),1,0)</formula>
    </cfRule>
    <cfRule type="expression" dxfId="2015" priority="2318">
      <formula>IF(OR(G74="T1",G74="T2",G74="T3",G74="T4",G74="T5",G74="T6",G74="T7",G74="T8",G74="T9"),1,0)</formula>
    </cfRule>
    <cfRule type="endsWith" dxfId="2014" priority="2320" operator="endsWith" text="_x">
      <formula>RIGHT(G74,LEN("_x"))="_x"</formula>
    </cfRule>
    <cfRule type="beginsWith" dxfId="2013" priority="2322" operator="beginsWith" text="AS-TL">
      <formula>LEFT(G74,LEN("AS-TL"))="AS-TL"</formula>
    </cfRule>
    <cfRule type="beginsWith" dxfId="2012" priority="2324" operator="beginsWith" text="tbs">
      <formula>LEFT(G74,LEN("tbs"))="tbs"</formula>
    </cfRule>
    <cfRule type="beginsWith" dxfId="2011" priority="2326" operator="beginsWith" text="TL-AS">
      <formula>LEFT(G74,LEN("TL-AS"))="TL-AS"</formula>
    </cfRule>
    <cfRule type="beginsWith" dxfId="2010" priority="2328" operator="beginsWith" text="L">
      <formula>LEFT(G74,LEN("L"))="L"</formula>
    </cfRule>
    <cfRule type="beginsWith" dxfId="2009" priority="2330" operator="beginsWith" text="DC">
      <formula>LEFT(G74,LEN("DC"))="DC"</formula>
    </cfRule>
    <cfRule type="beginsWith" dxfId="2008" priority="2332" operator="beginsWith" text="FP">
      <formula>LEFT(G74,LEN("FP"))="FP"</formula>
    </cfRule>
    <cfRule type="beginsWith" dxfId="2007" priority="2334" operator="beginsWith" text="M-TT">
      <formula>LEFT(G74,LEN("M-TT"))="M-TT"</formula>
    </cfRule>
    <cfRule type="beginsWith" dxfId="2006" priority="2336" operator="beginsWith" text="Ü">
      <formula>LEFT(G74,LEN("Ü"))="Ü"</formula>
    </cfRule>
    <cfRule type="beginsWith" dxfId="2005" priority="2338" operator="beginsWith" text="iW">
      <formula>LEFT(G74,LEN("iW"))="iW"</formula>
    </cfRule>
    <cfRule type="beginsWith" dxfId="2004" priority="2340" operator="beginsWith" text="D">
      <formula>LEFT(G74,LEN("D"))="D"</formula>
    </cfRule>
    <cfRule type="beginsWith" dxfId="2003" priority="2342" operator="beginsWith" text="Kde">
      <formula>LEFT(G74,LEN("Kde"))="Kde"</formula>
    </cfRule>
    <cfRule type="beginsWith" dxfId="2002" priority="2344" operator="beginsWith" text="P">
      <formula>LEFT(G74,LEN("P"))="P"</formula>
    </cfRule>
    <cfRule type="beginsWith" dxfId="2001" priority="2346" operator="beginsWith" text="Is-M">
      <formula>LEFT(G74,LEN("Is-M"))="Is-M"</formula>
    </cfRule>
    <cfRule type="beginsWith" dxfId="2000" priority="2348" operator="beginsWith" text="Is-Id">
      <formula>LEFT(G74,LEN("Is-Id"))="Is-Id"</formula>
    </cfRule>
    <cfRule type="beginsWith" dxfId="1999" priority="2350" operator="beginsWith" text="M-Is">
      <formula>LEFT(G74,LEN("M-Is"))="M-Is"</formula>
    </cfRule>
    <cfRule type="beginsWith" dxfId="1998" priority="2352" operator="beginsWith" text="M-Fe">
      <formula>LEFT(G74,LEN("M-Fe"))="M-Fe"</formula>
    </cfRule>
    <cfRule type="beginsWith" dxfId="1997" priority="2354" operator="beginsWith" text="M-TP">
      <formula>LEFT(G74,LEN("M-TP"))="M-TP"</formula>
    </cfRule>
    <cfRule type="beginsWith" dxfId="1996" priority="2356" operator="beginsWith" text="ZW6">
      <formula>LEFT(G74,LEN("ZW6"))="ZW6"</formula>
    </cfRule>
    <cfRule type="beginsWith" dxfId="1995" priority="2358" operator="beginsWith" text="ZW4">
      <formula>LEFT(G74,LEN("ZW4"))="ZW4"</formula>
    </cfRule>
    <cfRule type="beginsWith" dxfId="1994" priority="2360" operator="beginsWith" text="ZW2">
      <formula>LEFT(G74,LEN("ZW2"))="ZW2"</formula>
    </cfRule>
    <cfRule type="beginsWith" dxfId="1993" priority="2362" operator="beginsWith" text="ZW0">
      <formula>LEFT(G74,LEN("ZW0"))="ZW0"</formula>
    </cfRule>
    <cfRule type="beginsWith" dxfId="1992" priority="2364" operator="beginsWith" text="EW5">
      <formula>LEFT(G74,LEN("EW5"))="EW5"</formula>
    </cfRule>
    <cfRule type="beginsWith" dxfId="1991" priority="2366" operator="beginsWith" text="EW3">
      <formula>LEFT(G74,LEN("EW3"))="EW3"</formula>
    </cfRule>
    <cfRule type="beginsWith" dxfId="1990" priority="2368" operator="beginsWith" text="EW1">
      <formula>LEFT(G74,LEN("EW1"))="EW1"</formula>
    </cfRule>
    <cfRule type="beginsWith" dxfId="1989" priority="2370" operator="beginsWith" text="TL-AS">
      <formula>LEFT(G74,LEN("TL-AS"))="TL-AS"</formula>
    </cfRule>
    <cfRule type="beginsWith" dxfId="1988" priority="2372" operator="beginsWith" text="TL">
      <formula>LEFT(G74,LEN("TL"))="TL"</formula>
    </cfRule>
    <cfRule type="beginsWith" dxfId="1987" priority="2374" operator="beginsWith" text="AF">
      <formula>LEFT(G74,LEN("AF"))="AF"</formula>
    </cfRule>
    <cfRule type="beginsWith" dxfId="1986" priority="2376" operator="beginsWith" text="M-DG">
      <formula>LEFT(G74,LEN("M-DG"))="M-DG"</formula>
    </cfRule>
    <cfRule type="beginsWith" dxfId="1985" priority="2378" operator="beginsWith" text="M-Kde">
      <formula>LEFT(G74,LEN("M-Kde"))="M-Kde"</formula>
    </cfRule>
  </conditionalFormatting>
  <conditionalFormatting sqref="G74:NJ74">
    <cfRule type="beginsWith" dxfId="1984" priority="2302" operator="beginsWith" text="M">
      <formula>LEFT(G74,LEN("M"))="M"</formula>
    </cfRule>
  </conditionalFormatting>
  <conditionalFormatting sqref="G74:NJ74">
    <cfRule type="beginsWith" dxfId="1983" priority="2301" operator="beginsWith" text="Is-MB">
      <formula>LEFT(G74,LEN("Is-MB"))="Is-MB"</formula>
    </cfRule>
  </conditionalFormatting>
  <conditionalFormatting sqref="G74:NJ74">
    <cfRule type="beginsWith" dxfId="1982" priority="2300" operator="beginsWith" text="Y">
      <formula>LEFT(G74,LEN("Y"))="Y"</formula>
    </cfRule>
  </conditionalFormatting>
  <conditionalFormatting sqref="G74:NJ74">
    <cfRule type="beginsWith" dxfId="1981" priority="2299" operator="beginsWith" text="M-FP">
      <formula>LEFT(G74,LEN("M-FP"))="M-FP"</formula>
    </cfRule>
  </conditionalFormatting>
  <conditionalFormatting sqref="G74:NJ74">
    <cfRule type="beginsWith" dxfId="1980" priority="2298" operator="beginsWith" text="ME">
      <formula>LEFT(G74,LEN("ME"))="ME"</formula>
    </cfRule>
  </conditionalFormatting>
  <conditionalFormatting sqref="G74:NJ74">
    <cfRule type="beginsWith" dxfId="1979" priority="2297" operator="beginsWith" text="ME-TL">
      <formula>LEFT(G74,LEN("ME-TL"))="ME-TL"</formula>
    </cfRule>
  </conditionalFormatting>
  <conditionalFormatting sqref="G74:NJ74">
    <cfRule type="beginsWith" dxfId="1978" priority="2296" operator="beginsWith" text="M-W">
      <formula>LEFT(G74,LEN("M-W"))="M-W"</formula>
    </cfRule>
  </conditionalFormatting>
  <conditionalFormatting sqref="A74:E74">
    <cfRule type="expression" dxfId="1977" priority="2380">
      <formula>IF(AND($A74=$A75,#REF!=#REF!,$B74=$B75),0,1)</formula>
    </cfRule>
  </conditionalFormatting>
  <conditionalFormatting sqref="A74:E74">
    <cfRule type="expression" dxfId="1976" priority="2381">
      <formula>$F74="--"</formula>
    </cfRule>
  </conditionalFormatting>
  <conditionalFormatting sqref="A74:E74">
    <cfRule type="expression" dxfId="1975" priority="2382">
      <formula>$F74="-"</formula>
    </cfRule>
  </conditionalFormatting>
  <conditionalFormatting sqref="G78:NJ78">
    <cfRule type="expression" dxfId="1974" priority="2216">
      <formula>$F78="-"</formula>
    </cfRule>
    <cfRule type="expression" dxfId="1973" priority="2218">
      <formula>G$3=$PQ78</formula>
    </cfRule>
    <cfRule type="expression" dxfId="1972" priority="2220">
      <formula>G$3=$PO78</formula>
    </cfRule>
    <cfRule type="expression" dxfId="1971" priority="2222">
      <formula>G$3=$PM78</formula>
    </cfRule>
    <cfRule type="expression" dxfId="1970" priority="2224">
      <formula>IF(AND(RIGHT(G78,1)=".",LEFT(G78,2)&lt;&gt;"T1",LEFT(G78,2)&lt;&gt;"T2",LEFT(G78,2)&lt;&gt;"T3",LEFT(G78,2)&lt;&gt;"T4",LEFT(G78,2)&lt;&gt;"T5",LEFT(G78,2)&lt;&gt;"T6",LEFT(G78,2)&lt;&gt;"T7",LEFT(G78,2)&lt;&gt;"T8",LEFT(G78,2)&lt;&gt;"T9"),1,0)</formula>
    </cfRule>
    <cfRule type="expression" dxfId="1969" priority="2226">
      <formula>IF($C78&gt;0,IF(G$4=7,1,0),0)</formula>
    </cfRule>
    <cfRule type="expression" dxfId="1968" priority="2228">
      <formula>$C78&gt;0</formula>
    </cfRule>
    <cfRule type="expression" dxfId="1967" priority="2230">
      <formula>IF(OR(G78="T1.",G78="T2.",G78="T3.",G78="T4.",G78="T5.",G78="T6.",G78="T7.",G78="T8.",G78="T9."),1,0)</formula>
    </cfRule>
    <cfRule type="endsWith" dxfId="1966" priority="2232" operator="endsWith" text="_A">
      <formula>RIGHT(G78,LEN("_A"))="_A"</formula>
    </cfRule>
    <cfRule type="endsWith" dxfId="1965" priority="2234" operator="endsWith" text="_e">
      <formula>RIGHT(G78,LEN("_e"))="_e"</formula>
    </cfRule>
    <cfRule type="beginsWith" dxfId="1964" priority="2236" operator="beginsWith" text="ME-TL-AS">
      <formula>LEFT(G78,LEN("ME-TL-AS"))="ME-TL-AS"</formula>
    </cfRule>
    <cfRule type="beginsWith" dxfId="1963" priority="2238" operator="beginsWith" text="T-AS">
      <formula>LEFT(G78,LEN("T-AS"))="T-AS"</formula>
    </cfRule>
    <cfRule type="beginsWith" dxfId="1962" priority="2240" operator="beginsWith" text="M-KL">
      <formula>LEFT(G78,LEN("M-KL"))="M-KL"</formula>
    </cfRule>
    <cfRule type="beginsWith" dxfId="1961" priority="2242" operator="beginsWith" text="Ss">
      <formula>LEFT(G78,LEN("Ss"))="Ss"</formula>
    </cfRule>
    <cfRule type="beginsWith" dxfId="1960" priority="2244" operator="beginsWith" text="AC">
      <formula>LEFT(G78,LEN("AC"))="AC"</formula>
    </cfRule>
    <cfRule type="beginsWith" dxfId="1959" priority="2246" operator="beginsWith" text="TT">
      <formula>LEFT(G78,LEN("TT"))="TT"</formula>
    </cfRule>
    <cfRule type="beginsWith" dxfId="1958" priority="2248" operator="beginsWith" text="S">
      <formula>LEFT(G78,LEN("S"))="S"</formula>
    </cfRule>
    <cfRule type="beginsWith" dxfId="1957" priority="2250" operator="beginsWith" text="PK">
      <formula>LEFT(G78,LEN("PK"))="PK"</formula>
    </cfRule>
    <cfRule type="beginsWith" dxfId="1956" priority="2252" operator="beginsWith" text="W">
      <formula>LEFT(G78,LEN("W"))="W"</formula>
    </cfRule>
    <cfRule type="beginsWith" dxfId="1955" priority="2254" operator="beginsWith" text="Id">
      <formula>LEFT(G78,LEN("Id"))="Id"</formula>
    </cfRule>
    <cfRule type="beginsWith" dxfId="1954" priority="2256" operator="beginsWith" text="K">
      <formula>LEFT(G78,LEN("K"))="K"</formula>
    </cfRule>
    <cfRule type="beginsWith" dxfId="1953" priority="2258" operator="beginsWith" text="Is-ME">
      <formula>LEFT(G78,LEN("Is-ME"))="Is-ME"</formula>
    </cfRule>
    <cfRule type="beginsWith" dxfId="1952" priority="2260" operator="beginsWith" text="Is-Fe">
      <formula>LEFT(G78,LEN("Is-Fe"))="Is-Fe"</formula>
    </cfRule>
    <cfRule type="beginsWith" dxfId="1951" priority="2262" operator="beginsWith" text="Is">
      <formula>LEFT(G78,LEN("Is"))="Is"</formula>
    </cfRule>
    <cfRule type="beginsWith" dxfId="1950" priority="2264" operator="beginsWith" text="T">
      <formula>LEFT(G78,LEN("T"))="T"</formula>
    </cfRule>
    <cfRule type="beginsWith" dxfId="1949" priority="2266" operator="beginsWith" text="Mg">
      <formula>LEFT(G78,LEN("Mg"))="Mg"</formula>
    </cfRule>
    <cfRule type="beginsWith" dxfId="1948" priority="2268" operator="beginsWith" text="VM">
      <formula>LEFT(G78,LEN("VM"))="VM"</formula>
    </cfRule>
    <cfRule type="beginsWith" dxfId="1947" priority="2270" operator="beginsWith" text="ZW5">
      <formula>LEFT(G78,LEN("ZW5"))="ZW5"</formula>
    </cfRule>
    <cfRule type="beginsWith" dxfId="1946" priority="2272" operator="beginsWith" text="ZW3">
      <formula>LEFT(G78,LEN("ZW3"))="ZW3"</formula>
    </cfRule>
    <cfRule type="beginsWith" dxfId="1945" priority="2274" operator="beginsWith" text="ZW1">
      <formula>LEFT(G78,LEN("ZW1"))="ZW1"</formula>
    </cfRule>
    <cfRule type="beginsWith" dxfId="1944" priority="2276" operator="beginsWith" text="EW6">
      <formula>LEFT(G78,LEN("EW6"))="EW6"</formula>
    </cfRule>
    <cfRule type="beginsWith" dxfId="1943" priority="2278" operator="beginsWith" text="EW4">
      <formula>LEFT(G78,LEN("EW4"))="EW4"</formula>
    </cfRule>
    <cfRule type="beginsWith" dxfId="1942" priority="2280" operator="beginsWith" text="EW2">
      <formula>LEFT(G78,LEN("EW2"))="EW2"</formula>
    </cfRule>
    <cfRule type="beginsWith" dxfId="1941" priority="2282" operator="beginsWith" text="M-AS">
      <formula>LEFT(G78,LEN("M-AS"))="M-AS"</formula>
    </cfRule>
    <cfRule type="beginsWith" dxfId="1940" priority="2284" operator="beginsWith" text="TLP">
      <formula>LEFT(G78,LEN("TLP"))="TLP"</formula>
    </cfRule>
    <cfRule type="beginsWith" dxfId="1939" priority="2286" operator="beginsWith" text="US">
      <formula>LEFT(G78,LEN("US"))="US"</formula>
    </cfRule>
    <cfRule type="beginsWith" dxfId="1938" priority="2288" operator="beginsWith" text="AS">
      <formula>LEFT(G78,LEN("AS"))="AS"</formula>
    </cfRule>
    <cfRule type="beginsWith" dxfId="1937" priority="2290" operator="beginsWith" text="M-iW">
      <formula>LEFT(G78,LEN("M-iW"))="M-iW"</formula>
    </cfRule>
    <cfRule type="beginsWith" dxfId="1936" priority="2292" operator="beginsWith" text="MB">
      <formula>LEFT(G78,LEN("MB"))="MB"</formula>
    </cfRule>
  </conditionalFormatting>
  <conditionalFormatting sqref="G78:NJ78">
    <cfRule type="expression" dxfId="1935" priority="2217">
      <formula>$F78="--"</formula>
    </cfRule>
    <cfRule type="expression" dxfId="1934" priority="2219">
      <formula>G$3=$PP78</formula>
    </cfRule>
    <cfRule type="expression" dxfId="1933" priority="2221">
      <formula>G$3=$PN78</formula>
    </cfRule>
    <cfRule type="expression" dxfId="1932" priority="2223">
      <formula>G$3=$PL78</formula>
    </cfRule>
    <cfRule type="expression" dxfId="1931" priority="2225">
      <formula>IF(G78=0,IF(OR(G$4=6,G$4=7,G$5=1),1,0),0)</formula>
    </cfRule>
    <cfRule type="expression" dxfId="1930" priority="2227">
      <formula>IF($C78&gt;0,IF(G$4=1,1,0),0)</formula>
    </cfRule>
    <cfRule type="expression" dxfId="1929" priority="2229">
      <formula>IF(OR(G78="T1..",G78="T2..",G78="T3..",G78="T4..",G78="T5..",G78="T6..",G78="T7..",G78="T8..",G78="T9.."),1,0)</formula>
    </cfRule>
    <cfRule type="expression" dxfId="1928" priority="2231">
      <formula>IF(OR(G78="T1",G78="T2",G78="T3",G78="T4",G78="T5",G78="T6",G78="T7",G78="T8",G78="T9"),1,0)</formula>
    </cfRule>
    <cfRule type="endsWith" dxfId="1927" priority="2233" operator="endsWith" text="_x">
      <formula>RIGHT(G78,LEN("_x"))="_x"</formula>
    </cfRule>
    <cfRule type="beginsWith" dxfId="1926" priority="2235" operator="beginsWith" text="AS-TL">
      <formula>LEFT(G78,LEN("AS-TL"))="AS-TL"</formula>
    </cfRule>
    <cfRule type="beginsWith" dxfId="1925" priority="2237" operator="beginsWith" text="tbs">
      <formula>LEFT(G78,LEN("tbs"))="tbs"</formula>
    </cfRule>
    <cfRule type="beginsWith" dxfId="1924" priority="2239" operator="beginsWith" text="TL-AS">
      <formula>LEFT(G78,LEN("TL-AS"))="TL-AS"</formula>
    </cfRule>
    <cfRule type="beginsWith" dxfId="1923" priority="2241" operator="beginsWith" text="L">
      <formula>LEFT(G78,LEN("L"))="L"</formula>
    </cfRule>
    <cfRule type="beginsWith" dxfId="1922" priority="2243" operator="beginsWith" text="DC">
      <formula>LEFT(G78,LEN("DC"))="DC"</formula>
    </cfRule>
    <cfRule type="beginsWith" dxfId="1921" priority="2245" operator="beginsWith" text="FP">
      <formula>LEFT(G78,LEN("FP"))="FP"</formula>
    </cfRule>
    <cfRule type="beginsWith" dxfId="1920" priority="2247" operator="beginsWith" text="M-TT">
      <formula>LEFT(G78,LEN("M-TT"))="M-TT"</formula>
    </cfRule>
    <cfRule type="beginsWith" dxfId="1919" priority="2249" operator="beginsWith" text="Ü">
      <formula>LEFT(G78,LEN("Ü"))="Ü"</formula>
    </cfRule>
    <cfRule type="beginsWith" dxfId="1918" priority="2251" operator="beginsWith" text="iW">
      <formula>LEFT(G78,LEN("iW"))="iW"</formula>
    </cfRule>
    <cfRule type="beginsWith" dxfId="1917" priority="2253" operator="beginsWith" text="D">
      <formula>LEFT(G78,LEN("D"))="D"</formula>
    </cfRule>
    <cfRule type="beginsWith" dxfId="1916" priority="2255" operator="beginsWith" text="Kde">
      <formula>LEFT(G78,LEN("Kde"))="Kde"</formula>
    </cfRule>
    <cfRule type="beginsWith" dxfId="1915" priority="2257" operator="beginsWith" text="P">
      <formula>LEFT(G78,LEN("P"))="P"</formula>
    </cfRule>
    <cfRule type="beginsWith" dxfId="1914" priority="2259" operator="beginsWith" text="Is-M">
      <formula>LEFT(G78,LEN("Is-M"))="Is-M"</formula>
    </cfRule>
    <cfRule type="beginsWith" dxfId="1913" priority="2261" operator="beginsWith" text="Is-Id">
      <formula>LEFT(G78,LEN("Is-Id"))="Is-Id"</formula>
    </cfRule>
    <cfRule type="beginsWith" dxfId="1912" priority="2263" operator="beginsWith" text="M-Is">
      <formula>LEFT(G78,LEN("M-Is"))="M-Is"</formula>
    </cfRule>
    <cfRule type="beginsWith" dxfId="1911" priority="2265" operator="beginsWith" text="M-Fe">
      <formula>LEFT(G78,LEN("M-Fe"))="M-Fe"</formula>
    </cfRule>
    <cfRule type="beginsWith" dxfId="1910" priority="2267" operator="beginsWith" text="M-TP">
      <formula>LEFT(G78,LEN("M-TP"))="M-TP"</formula>
    </cfRule>
    <cfRule type="beginsWith" dxfId="1909" priority="2269" operator="beginsWith" text="ZW6">
      <formula>LEFT(G78,LEN("ZW6"))="ZW6"</formula>
    </cfRule>
    <cfRule type="beginsWith" dxfId="1908" priority="2271" operator="beginsWith" text="ZW4">
      <formula>LEFT(G78,LEN("ZW4"))="ZW4"</formula>
    </cfRule>
    <cfRule type="beginsWith" dxfId="1907" priority="2273" operator="beginsWith" text="ZW2">
      <formula>LEFT(G78,LEN("ZW2"))="ZW2"</formula>
    </cfRule>
    <cfRule type="beginsWith" dxfId="1906" priority="2275" operator="beginsWith" text="ZW0">
      <formula>LEFT(G78,LEN("ZW0"))="ZW0"</formula>
    </cfRule>
    <cfRule type="beginsWith" dxfId="1905" priority="2277" operator="beginsWith" text="EW5">
      <formula>LEFT(G78,LEN("EW5"))="EW5"</formula>
    </cfRule>
    <cfRule type="beginsWith" dxfId="1904" priority="2279" operator="beginsWith" text="EW3">
      <formula>LEFT(G78,LEN("EW3"))="EW3"</formula>
    </cfRule>
    <cfRule type="beginsWith" dxfId="1903" priority="2281" operator="beginsWith" text="EW1">
      <formula>LEFT(G78,LEN("EW1"))="EW1"</formula>
    </cfRule>
    <cfRule type="beginsWith" dxfId="1902" priority="2283" operator="beginsWith" text="TL-AS">
      <formula>LEFT(G78,LEN("TL-AS"))="TL-AS"</formula>
    </cfRule>
    <cfRule type="beginsWith" dxfId="1901" priority="2285" operator="beginsWith" text="TL">
      <formula>LEFT(G78,LEN("TL"))="TL"</formula>
    </cfRule>
    <cfRule type="beginsWith" dxfId="1900" priority="2287" operator="beginsWith" text="AF">
      <formula>LEFT(G78,LEN("AF"))="AF"</formula>
    </cfRule>
    <cfRule type="beginsWith" dxfId="1899" priority="2289" operator="beginsWith" text="M-DG">
      <formula>LEFT(G78,LEN("M-DG"))="M-DG"</formula>
    </cfRule>
    <cfRule type="beginsWith" dxfId="1898" priority="2291" operator="beginsWith" text="M-Kde">
      <formula>LEFT(G78,LEN("M-Kde"))="M-Kde"</formula>
    </cfRule>
  </conditionalFormatting>
  <conditionalFormatting sqref="G78:NJ78">
    <cfRule type="beginsWith" dxfId="1897" priority="2215" operator="beginsWith" text="M">
      <formula>LEFT(G78,LEN("M"))="M"</formula>
    </cfRule>
  </conditionalFormatting>
  <conditionalFormatting sqref="G78:NJ78">
    <cfRule type="beginsWith" dxfId="1896" priority="2214" operator="beginsWith" text="Is-MB">
      <formula>LEFT(G78,LEN("Is-MB"))="Is-MB"</formula>
    </cfRule>
  </conditionalFormatting>
  <conditionalFormatting sqref="G78:NJ78">
    <cfRule type="beginsWith" dxfId="1895" priority="2213" operator="beginsWith" text="Y">
      <formula>LEFT(G78,LEN("Y"))="Y"</formula>
    </cfRule>
  </conditionalFormatting>
  <conditionalFormatting sqref="G78:NJ78">
    <cfRule type="beginsWith" dxfId="1894" priority="2212" operator="beginsWith" text="M-FP">
      <formula>LEFT(G78,LEN("M-FP"))="M-FP"</formula>
    </cfRule>
  </conditionalFormatting>
  <conditionalFormatting sqref="G78:NJ78">
    <cfRule type="beginsWith" dxfId="1893" priority="2211" operator="beginsWith" text="ME">
      <formula>LEFT(G78,LEN("ME"))="ME"</formula>
    </cfRule>
  </conditionalFormatting>
  <conditionalFormatting sqref="G78:NJ78">
    <cfRule type="beginsWith" dxfId="1892" priority="2210" operator="beginsWith" text="ME-TL">
      <formula>LEFT(G78,LEN("ME-TL"))="ME-TL"</formula>
    </cfRule>
  </conditionalFormatting>
  <conditionalFormatting sqref="G78:NJ78">
    <cfRule type="beginsWith" dxfId="1891" priority="2209" operator="beginsWith" text="M-W">
      <formula>LEFT(G78,LEN("M-W"))="M-W"</formula>
    </cfRule>
  </conditionalFormatting>
  <conditionalFormatting sqref="A78:E78">
    <cfRule type="expression" dxfId="1890" priority="2293">
      <formula>IF(AND($A78=$A79,#REF!=#REF!,$B78=$B79),0,1)</formula>
    </cfRule>
  </conditionalFormatting>
  <conditionalFormatting sqref="A78:E78">
    <cfRule type="expression" dxfId="1889" priority="2294">
      <formula>$F78="--"</formula>
    </cfRule>
  </conditionalFormatting>
  <conditionalFormatting sqref="A78:E78">
    <cfRule type="expression" dxfId="1888" priority="2295">
      <formula>$F78="-"</formula>
    </cfRule>
  </conditionalFormatting>
  <conditionalFormatting sqref="G82:NJ82">
    <cfRule type="expression" dxfId="1887" priority="2129">
      <formula>$F82="-"</formula>
    </cfRule>
    <cfRule type="expression" dxfId="1886" priority="2131">
      <formula>G$3=$PQ82</formula>
    </cfRule>
    <cfRule type="expression" dxfId="1885" priority="2133">
      <formula>G$3=$PO82</formula>
    </cfRule>
    <cfRule type="expression" dxfId="1884" priority="2135">
      <formula>G$3=$PM82</formula>
    </cfRule>
    <cfRule type="expression" dxfId="1883" priority="2137">
      <formula>IF(AND(RIGHT(G82,1)=".",LEFT(G82,2)&lt;&gt;"T1",LEFT(G82,2)&lt;&gt;"T2",LEFT(G82,2)&lt;&gt;"T3",LEFT(G82,2)&lt;&gt;"T4",LEFT(G82,2)&lt;&gt;"T5",LEFT(G82,2)&lt;&gt;"T6",LEFT(G82,2)&lt;&gt;"T7",LEFT(G82,2)&lt;&gt;"T8",LEFT(G82,2)&lt;&gt;"T9"),1,0)</formula>
    </cfRule>
    <cfRule type="expression" dxfId="1882" priority="2139">
      <formula>IF($C82&gt;0,IF(G$4=7,1,0),0)</formula>
    </cfRule>
    <cfRule type="expression" dxfId="1881" priority="2141">
      <formula>$C82&gt;0</formula>
    </cfRule>
    <cfRule type="expression" dxfId="1880" priority="2143">
      <formula>IF(OR(G82="T1.",G82="T2.",G82="T3.",G82="T4.",G82="T5.",G82="T6.",G82="T7.",G82="T8.",G82="T9."),1,0)</formula>
    </cfRule>
    <cfRule type="endsWith" dxfId="1879" priority="2145" operator="endsWith" text="_A">
      <formula>RIGHT(G82,LEN("_A"))="_A"</formula>
    </cfRule>
    <cfRule type="endsWith" dxfId="1878" priority="2147" operator="endsWith" text="_e">
      <formula>RIGHT(G82,LEN("_e"))="_e"</formula>
    </cfRule>
    <cfRule type="beginsWith" dxfId="1877" priority="2149" operator="beginsWith" text="ME-TL-AS">
      <formula>LEFT(G82,LEN("ME-TL-AS"))="ME-TL-AS"</formula>
    </cfRule>
    <cfRule type="beginsWith" dxfId="1876" priority="2151" operator="beginsWith" text="T-AS">
      <formula>LEFT(G82,LEN("T-AS"))="T-AS"</formula>
    </cfRule>
    <cfRule type="beginsWith" dxfId="1875" priority="2153" operator="beginsWith" text="M-KL">
      <formula>LEFT(G82,LEN("M-KL"))="M-KL"</formula>
    </cfRule>
    <cfRule type="beginsWith" dxfId="1874" priority="2155" operator="beginsWith" text="Ss">
      <formula>LEFT(G82,LEN("Ss"))="Ss"</formula>
    </cfRule>
    <cfRule type="beginsWith" dxfId="1873" priority="2157" operator="beginsWith" text="AC">
      <formula>LEFT(G82,LEN("AC"))="AC"</formula>
    </cfRule>
    <cfRule type="beginsWith" dxfId="1872" priority="2159" operator="beginsWith" text="TT">
      <formula>LEFT(G82,LEN("TT"))="TT"</formula>
    </cfRule>
    <cfRule type="beginsWith" dxfId="1871" priority="2161" operator="beginsWith" text="S">
      <formula>LEFT(G82,LEN("S"))="S"</formula>
    </cfRule>
    <cfRule type="beginsWith" dxfId="1870" priority="2163" operator="beginsWith" text="PK">
      <formula>LEFT(G82,LEN("PK"))="PK"</formula>
    </cfRule>
    <cfRule type="beginsWith" dxfId="1869" priority="2165" operator="beginsWith" text="W">
      <formula>LEFT(G82,LEN("W"))="W"</formula>
    </cfRule>
    <cfRule type="beginsWith" dxfId="1868" priority="2167" operator="beginsWith" text="Id">
      <formula>LEFT(G82,LEN("Id"))="Id"</formula>
    </cfRule>
    <cfRule type="beginsWith" dxfId="1867" priority="2169" operator="beginsWith" text="K">
      <formula>LEFT(G82,LEN("K"))="K"</formula>
    </cfRule>
    <cfRule type="beginsWith" dxfId="1866" priority="2171" operator="beginsWith" text="Is-ME">
      <formula>LEFT(G82,LEN("Is-ME"))="Is-ME"</formula>
    </cfRule>
    <cfRule type="beginsWith" dxfId="1865" priority="2173" operator="beginsWith" text="Is-Fe">
      <formula>LEFT(G82,LEN("Is-Fe"))="Is-Fe"</formula>
    </cfRule>
    <cfRule type="beginsWith" dxfId="1864" priority="2175" operator="beginsWith" text="Is">
      <formula>LEFT(G82,LEN("Is"))="Is"</formula>
    </cfRule>
    <cfRule type="beginsWith" dxfId="1863" priority="2177" operator="beginsWith" text="T">
      <formula>LEFT(G82,LEN("T"))="T"</formula>
    </cfRule>
    <cfRule type="beginsWith" dxfId="1862" priority="2179" operator="beginsWith" text="Mg">
      <formula>LEFT(G82,LEN("Mg"))="Mg"</formula>
    </cfRule>
    <cfRule type="beginsWith" dxfId="1861" priority="2181" operator="beginsWith" text="VM">
      <formula>LEFT(G82,LEN("VM"))="VM"</formula>
    </cfRule>
    <cfRule type="beginsWith" dxfId="1860" priority="2183" operator="beginsWith" text="ZW5">
      <formula>LEFT(G82,LEN("ZW5"))="ZW5"</formula>
    </cfRule>
    <cfRule type="beginsWith" dxfId="1859" priority="2185" operator="beginsWith" text="ZW3">
      <formula>LEFT(G82,LEN("ZW3"))="ZW3"</formula>
    </cfRule>
    <cfRule type="beginsWith" dxfId="1858" priority="2187" operator="beginsWith" text="ZW1">
      <formula>LEFT(G82,LEN("ZW1"))="ZW1"</formula>
    </cfRule>
    <cfRule type="beginsWith" dxfId="1857" priority="2189" operator="beginsWith" text="EW6">
      <formula>LEFT(G82,LEN("EW6"))="EW6"</formula>
    </cfRule>
    <cfRule type="beginsWith" dxfId="1856" priority="2191" operator="beginsWith" text="EW4">
      <formula>LEFT(G82,LEN("EW4"))="EW4"</formula>
    </cfRule>
    <cfRule type="beginsWith" dxfId="1855" priority="2193" operator="beginsWith" text="EW2">
      <formula>LEFT(G82,LEN("EW2"))="EW2"</formula>
    </cfRule>
    <cfRule type="beginsWith" dxfId="1854" priority="2195" operator="beginsWith" text="M-AS">
      <formula>LEFT(G82,LEN("M-AS"))="M-AS"</formula>
    </cfRule>
    <cfRule type="beginsWith" dxfId="1853" priority="2197" operator="beginsWith" text="TLP">
      <formula>LEFT(G82,LEN("TLP"))="TLP"</formula>
    </cfRule>
    <cfRule type="beginsWith" dxfId="1852" priority="2199" operator="beginsWith" text="US">
      <formula>LEFT(G82,LEN("US"))="US"</formula>
    </cfRule>
    <cfRule type="beginsWith" dxfId="1851" priority="2201" operator="beginsWith" text="AS">
      <formula>LEFT(G82,LEN("AS"))="AS"</formula>
    </cfRule>
    <cfRule type="beginsWith" dxfId="1850" priority="2203" operator="beginsWith" text="M-iW">
      <formula>LEFT(G82,LEN("M-iW"))="M-iW"</formula>
    </cfRule>
    <cfRule type="beginsWith" dxfId="1849" priority="2205" operator="beginsWith" text="MB">
      <formula>LEFT(G82,LEN("MB"))="MB"</formula>
    </cfRule>
  </conditionalFormatting>
  <conditionalFormatting sqref="G82:NJ82">
    <cfRule type="expression" dxfId="1848" priority="2130">
      <formula>$F82="--"</formula>
    </cfRule>
    <cfRule type="expression" dxfId="1847" priority="2132">
      <formula>G$3=$PP82</formula>
    </cfRule>
    <cfRule type="expression" dxfId="1846" priority="2134">
      <formula>G$3=$PN82</formula>
    </cfRule>
    <cfRule type="expression" dxfId="1845" priority="2136">
      <formula>G$3=$PL82</formula>
    </cfRule>
    <cfRule type="expression" dxfId="1844" priority="2138">
      <formula>IF(G82=0,IF(OR(G$4=6,G$4=7,G$5=1),1,0),0)</formula>
    </cfRule>
    <cfRule type="expression" dxfId="1843" priority="2140">
      <formula>IF($C82&gt;0,IF(G$4=1,1,0),0)</formula>
    </cfRule>
    <cfRule type="expression" dxfId="1842" priority="2142">
      <formula>IF(OR(G82="T1..",G82="T2..",G82="T3..",G82="T4..",G82="T5..",G82="T6..",G82="T7..",G82="T8..",G82="T9.."),1,0)</formula>
    </cfRule>
    <cfRule type="expression" dxfId="1841" priority="2144">
      <formula>IF(OR(G82="T1",G82="T2",G82="T3",G82="T4",G82="T5",G82="T6",G82="T7",G82="T8",G82="T9"),1,0)</formula>
    </cfRule>
    <cfRule type="endsWith" dxfId="1840" priority="2146" operator="endsWith" text="_x">
      <formula>RIGHT(G82,LEN("_x"))="_x"</formula>
    </cfRule>
    <cfRule type="beginsWith" dxfId="1839" priority="2148" operator="beginsWith" text="AS-TL">
      <formula>LEFT(G82,LEN("AS-TL"))="AS-TL"</formula>
    </cfRule>
    <cfRule type="beginsWith" dxfId="1838" priority="2150" operator="beginsWith" text="tbs">
      <formula>LEFT(G82,LEN("tbs"))="tbs"</formula>
    </cfRule>
    <cfRule type="beginsWith" dxfId="1837" priority="2152" operator="beginsWith" text="TL-AS">
      <formula>LEFT(G82,LEN("TL-AS"))="TL-AS"</formula>
    </cfRule>
    <cfRule type="beginsWith" dxfId="1836" priority="2154" operator="beginsWith" text="L">
      <formula>LEFT(G82,LEN("L"))="L"</formula>
    </cfRule>
    <cfRule type="beginsWith" dxfId="1835" priority="2156" operator="beginsWith" text="DC">
      <formula>LEFT(G82,LEN("DC"))="DC"</formula>
    </cfRule>
    <cfRule type="beginsWith" dxfId="1834" priority="2158" operator="beginsWith" text="FP">
      <formula>LEFT(G82,LEN("FP"))="FP"</formula>
    </cfRule>
    <cfRule type="beginsWith" dxfId="1833" priority="2160" operator="beginsWith" text="M-TT">
      <formula>LEFT(G82,LEN("M-TT"))="M-TT"</formula>
    </cfRule>
    <cfRule type="beginsWith" dxfId="1832" priority="2162" operator="beginsWith" text="Ü">
      <formula>LEFT(G82,LEN("Ü"))="Ü"</formula>
    </cfRule>
    <cfRule type="beginsWith" dxfId="1831" priority="2164" operator="beginsWith" text="iW">
      <formula>LEFT(G82,LEN("iW"))="iW"</formula>
    </cfRule>
    <cfRule type="beginsWith" dxfId="1830" priority="2166" operator="beginsWith" text="D">
      <formula>LEFT(G82,LEN("D"))="D"</formula>
    </cfRule>
    <cfRule type="beginsWith" dxfId="1829" priority="2168" operator="beginsWith" text="Kde">
      <formula>LEFT(G82,LEN("Kde"))="Kde"</formula>
    </cfRule>
    <cfRule type="beginsWith" dxfId="1828" priority="2170" operator="beginsWith" text="P">
      <formula>LEFT(G82,LEN("P"))="P"</formula>
    </cfRule>
    <cfRule type="beginsWith" dxfId="1827" priority="2172" operator="beginsWith" text="Is-M">
      <formula>LEFT(G82,LEN("Is-M"))="Is-M"</formula>
    </cfRule>
    <cfRule type="beginsWith" dxfId="1826" priority="2174" operator="beginsWith" text="Is-Id">
      <formula>LEFT(G82,LEN("Is-Id"))="Is-Id"</formula>
    </cfRule>
    <cfRule type="beginsWith" dxfId="1825" priority="2176" operator="beginsWith" text="M-Is">
      <formula>LEFT(G82,LEN("M-Is"))="M-Is"</formula>
    </cfRule>
    <cfRule type="beginsWith" dxfId="1824" priority="2178" operator="beginsWith" text="M-Fe">
      <formula>LEFT(G82,LEN("M-Fe"))="M-Fe"</formula>
    </cfRule>
    <cfRule type="beginsWith" dxfId="1823" priority="2180" operator="beginsWith" text="M-TP">
      <formula>LEFT(G82,LEN("M-TP"))="M-TP"</formula>
    </cfRule>
    <cfRule type="beginsWith" dxfId="1822" priority="2182" operator="beginsWith" text="ZW6">
      <formula>LEFT(G82,LEN("ZW6"))="ZW6"</formula>
    </cfRule>
    <cfRule type="beginsWith" dxfId="1821" priority="2184" operator="beginsWith" text="ZW4">
      <formula>LEFT(G82,LEN("ZW4"))="ZW4"</formula>
    </cfRule>
    <cfRule type="beginsWith" dxfId="1820" priority="2186" operator="beginsWith" text="ZW2">
      <formula>LEFT(G82,LEN("ZW2"))="ZW2"</formula>
    </cfRule>
    <cfRule type="beginsWith" dxfId="1819" priority="2188" operator="beginsWith" text="ZW0">
      <formula>LEFT(G82,LEN("ZW0"))="ZW0"</formula>
    </cfRule>
    <cfRule type="beginsWith" dxfId="1818" priority="2190" operator="beginsWith" text="EW5">
      <formula>LEFT(G82,LEN("EW5"))="EW5"</formula>
    </cfRule>
    <cfRule type="beginsWith" dxfId="1817" priority="2192" operator="beginsWith" text="EW3">
      <formula>LEFT(G82,LEN("EW3"))="EW3"</formula>
    </cfRule>
    <cfRule type="beginsWith" dxfId="1816" priority="2194" operator="beginsWith" text="EW1">
      <formula>LEFT(G82,LEN("EW1"))="EW1"</formula>
    </cfRule>
    <cfRule type="beginsWith" dxfId="1815" priority="2196" operator="beginsWith" text="TL-AS">
      <formula>LEFT(G82,LEN("TL-AS"))="TL-AS"</formula>
    </cfRule>
    <cfRule type="beginsWith" dxfId="1814" priority="2198" operator="beginsWith" text="TL">
      <formula>LEFT(G82,LEN("TL"))="TL"</formula>
    </cfRule>
    <cfRule type="beginsWith" dxfId="1813" priority="2200" operator="beginsWith" text="AF">
      <formula>LEFT(G82,LEN("AF"))="AF"</formula>
    </cfRule>
    <cfRule type="beginsWith" dxfId="1812" priority="2202" operator="beginsWith" text="M-DG">
      <formula>LEFT(G82,LEN("M-DG"))="M-DG"</formula>
    </cfRule>
    <cfRule type="beginsWith" dxfId="1811" priority="2204" operator="beginsWith" text="M-Kde">
      <formula>LEFT(G82,LEN("M-Kde"))="M-Kde"</formula>
    </cfRule>
  </conditionalFormatting>
  <conditionalFormatting sqref="G82:NJ82">
    <cfRule type="beginsWith" dxfId="1810" priority="2128" operator="beginsWith" text="M">
      <formula>LEFT(G82,LEN("M"))="M"</formula>
    </cfRule>
  </conditionalFormatting>
  <conditionalFormatting sqref="G82:NJ82">
    <cfRule type="beginsWith" dxfId="1809" priority="2127" operator="beginsWith" text="Is-MB">
      <formula>LEFT(G82,LEN("Is-MB"))="Is-MB"</formula>
    </cfRule>
  </conditionalFormatting>
  <conditionalFormatting sqref="G82:NJ82">
    <cfRule type="beginsWith" dxfId="1808" priority="2126" operator="beginsWith" text="Y">
      <formula>LEFT(G82,LEN("Y"))="Y"</formula>
    </cfRule>
  </conditionalFormatting>
  <conditionalFormatting sqref="G82:NJ82">
    <cfRule type="beginsWith" dxfId="1807" priority="2125" operator="beginsWith" text="M-FP">
      <formula>LEFT(G82,LEN("M-FP"))="M-FP"</formula>
    </cfRule>
  </conditionalFormatting>
  <conditionalFormatting sqref="G82:NJ82">
    <cfRule type="beginsWith" dxfId="1806" priority="2124" operator="beginsWith" text="ME">
      <formula>LEFT(G82,LEN("ME"))="ME"</formula>
    </cfRule>
  </conditionalFormatting>
  <conditionalFormatting sqref="G82:NJ82">
    <cfRule type="beginsWith" dxfId="1805" priority="2123" operator="beginsWith" text="ME-TL">
      <formula>LEFT(G82,LEN("ME-TL"))="ME-TL"</formula>
    </cfRule>
  </conditionalFormatting>
  <conditionalFormatting sqref="G82:NJ82">
    <cfRule type="beginsWith" dxfId="1804" priority="2122" operator="beginsWith" text="M-W">
      <formula>LEFT(G82,LEN("M-W"))="M-W"</formula>
    </cfRule>
  </conditionalFormatting>
  <conditionalFormatting sqref="A82:E82">
    <cfRule type="expression" dxfId="1803" priority="2206">
      <formula>IF(AND($A82=$A83,#REF!=#REF!,$B82=$B83),0,1)</formula>
    </cfRule>
  </conditionalFormatting>
  <conditionalFormatting sqref="A82:E82">
    <cfRule type="expression" dxfId="1802" priority="2207">
      <formula>$F82="--"</formula>
    </cfRule>
  </conditionalFormatting>
  <conditionalFormatting sqref="A82:E82">
    <cfRule type="expression" dxfId="1801" priority="2208">
      <formula>$F82="-"</formula>
    </cfRule>
  </conditionalFormatting>
  <conditionalFormatting sqref="G86:NJ86">
    <cfRule type="expression" dxfId="1800" priority="2042">
      <formula>$F86="-"</formula>
    </cfRule>
    <cfRule type="expression" dxfId="1799" priority="2044">
      <formula>G$3=$PQ86</formula>
    </cfRule>
    <cfRule type="expression" dxfId="1798" priority="2046">
      <formula>G$3=$PO86</formula>
    </cfRule>
    <cfRule type="expression" dxfId="1797" priority="2048">
      <formula>G$3=$PM86</formula>
    </cfRule>
    <cfRule type="expression" dxfId="1796" priority="2050">
      <formula>IF(AND(RIGHT(G86,1)=".",LEFT(G86,2)&lt;&gt;"T1",LEFT(G86,2)&lt;&gt;"T2",LEFT(G86,2)&lt;&gt;"T3",LEFT(G86,2)&lt;&gt;"T4",LEFT(G86,2)&lt;&gt;"T5",LEFT(G86,2)&lt;&gt;"T6",LEFT(G86,2)&lt;&gt;"T7",LEFT(G86,2)&lt;&gt;"T8",LEFT(G86,2)&lt;&gt;"T9"),1,0)</formula>
    </cfRule>
    <cfRule type="expression" dxfId="1795" priority="2052">
      <formula>IF($C86&gt;0,IF(G$4=7,1,0),0)</formula>
    </cfRule>
    <cfRule type="expression" dxfId="1794" priority="2054">
      <formula>$C86&gt;0</formula>
    </cfRule>
    <cfRule type="expression" dxfId="1793" priority="2056">
      <formula>IF(OR(G86="T1.",G86="T2.",G86="T3.",G86="T4.",G86="T5.",G86="T6.",G86="T7.",G86="T8.",G86="T9."),1,0)</formula>
    </cfRule>
    <cfRule type="endsWith" dxfId="1792" priority="2058" operator="endsWith" text="_A">
      <formula>RIGHT(G86,LEN("_A"))="_A"</formula>
    </cfRule>
    <cfRule type="endsWith" dxfId="1791" priority="2060" operator="endsWith" text="_e">
      <formula>RIGHT(G86,LEN("_e"))="_e"</formula>
    </cfRule>
    <cfRule type="beginsWith" dxfId="1790" priority="2062" operator="beginsWith" text="ME-TL-AS">
      <formula>LEFT(G86,LEN("ME-TL-AS"))="ME-TL-AS"</formula>
    </cfRule>
    <cfRule type="beginsWith" dxfId="1789" priority="2064" operator="beginsWith" text="T-AS">
      <formula>LEFT(G86,LEN("T-AS"))="T-AS"</formula>
    </cfRule>
    <cfRule type="beginsWith" dxfId="1788" priority="2066" operator="beginsWith" text="M-KL">
      <formula>LEFT(G86,LEN("M-KL"))="M-KL"</formula>
    </cfRule>
    <cfRule type="beginsWith" dxfId="1787" priority="2068" operator="beginsWith" text="Ss">
      <formula>LEFT(G86,LEN("Ss"))="Ss"</formula>
    </cfRule>
    <cfRule type="beginsWith" dxfId="1786" priority="2070" operator="beginsWith" text="AC">
      <formula>LEFT(G86,LEN("AC"))="AC"</formula>
    </cfRule>
    <cfRule type="beginsWith" dxfId="1785" priority="2072" operator="beginsWith" text="TT">
      <formula>LEFT(G86,LEN("TT"))="TT"</formula>
    </cfRule>
    <cfRule type="beginsWith" dxfId="1784" priority="2074" operator="beginsWith" text="S">
      <formula>LEFT(G86,LEN("S"))="S"</formula>
    </cfRule>
    <cfRule type="beginsWith" dxfId="1783" priority="2076" operator="beginsWith" text="PK">
      <formula>LEFT(G86,LEN("PK"))="PK"</formula>
    </cfRule>
    <cfRule type="beginsWith" dxfId="1782" priority="2078" operator="beginsWith" text="W">
      <formula>LEFT(G86,LEN("W"))="W"</formula>
    </cfRule>
    <cfRule type="beginsWith" dxfId="1781" priority="2080" operator="beginsWith" text="Id">
      <formula>LEFT(G86,LEN("Id"))="Id"</formula>
    </cfRule>
    <cfRule type="beginsWith" dxfId="1780" priority="2082" operator="beginsWith" text="K">
      <formula>LEFT(G86,LEN("K"))="K"</formula>
    </cfRule>
    <cfRule type="beginsWith" dxfId="1779" priority="2084" operator="beginsWith" text="Is-ME">
      <formula>LEFT(G86,LEN("Is-ME"))="Is-ME"</formula>
    </cfRule>
    <cfRule type="beginsWith" dxfId="1778" priority="2086" operator="beginsWith" text="Is-Fe">
      <formula>LEFT(G86,LEN("Is-Fe"))="Is-Fe"</formula>
    </cfRule>
    <cfRule type="beginsWith" dxfId="1777" priority="2088" operator="beginsWith" text="Is">
      <formula>LEFT(G86,LEN("Is"))="Is"</formula>
    </cfRule>
    <cfRule type="beginsWith" dxfId="1776" priority="2090" operator="beginsWith" text="T">
      <formula>LEFT(G86,LEN("T"))="T"</formula>
    </cfRule>
    <cfRule type="beginsWith" dxfId="1775" priority="2092" operator="beginsWith" text="Mg">
      <formula>LEFT(G86,LEN("Mg"))="Mg"</formula>
    </cfRule>
    <cfRule type="beginsWith" dxfId="1774" priority="2094" operator="beginsWith" text="VM">
      <formula>LEFT(G86,LEN("VM"))="VM"</formula>
    </cfRule>
    <cfRule type="beginsWith" dxfId="1773" priority="2096" operator="beginsWith" text="ZW5">
      <formula>LEFT(G86,LEN("ZW5"))="ZW5"</formula>
    </cfRule>
    <cfRule type="beginsWith" dxfId="1772" priority="2098" operator="beginsWith" text="ZW3">
      <formula>LEFT(G86,LEN("ZW3"))="ZW3"</formula>
    </cfRule>
    <cfRule type="beginsWith" dxfId="1771" priority="2100" operator="beginsWith" text="ZW1">
      <formula>LEFT(G86,LEN("ZW1"))="ZW1"</formula>
    </cfRule>
    <cfRule type="beginsWith" dxfId="1770" priority="2102" operator="beginsWith" text="EW6">
      <formula>LEFT(G86,LEN("EW6"))="EW6"</formula>
    </cfRule>
    <cfRule type="beginsWith" dxfId="1769" priority="2104" operator="beginsWith" text="EW4">
      <formula>LEFT(G86,LEN("EW4"))="EW4"</formula>
    </cfRule>
    <cfRule type="beginsWith" dxfId="1768" priority="2106" operator="beginsWith" text="EW2">
      <formula>LEFT(G86,LEN("EW2"))="EW2"</formula>
    </cfRule>
    <cfRule type="beginsWith" dxfId="1767" priority="2108" operator="beginsWith" text="M-AS">
      <formula>LEFT(G86,LEN("M-AS"))="M-AS"</formula>
    </cfRule>
    <cfRule type="beginsWith" dxfId="1766" priority="2110" operator="beginsWith" text="TLP">
      <formula>LEFT(G86,LEN("TLP"))="TLP"</formula>
    </cfRule>
    <cfRule type="beginsWith" dxfId="1765" priority="2112" operator="beginsWith" text="US">
      <formula>LEFT(G86,LEN("US"))="US"</formula>
    </cfRule>
    <cfRule type="beginsWith" dxfId="1764" priority="2114" operator="beginsWith" text="AS">
      <formula>LEFT(G86,LEN("AS"))="AS"</formula>
    </cfRule>
    <cfRule type="beginsWith" dxfId="1763" priority="2116" operator="beginsWith" text="M-iW">
      <formula>LEFT(G86,LEN("M-iW"))="M-iW"</formula>
    </cfRule>
    <cfRule type="beginsWith" dxfId="1762" priority="2118" operator="beginsWith" text="MB">
      <formula>LEFT(G86,LEN("MB"))="MB"</formula>
    </cfRule>
  </conditionalFormatting>
  <conditionalFormatting sqref="G86:NJ86">
    <cfRule type="expression" dxfId="1761" priority="2043">
      <formula>$F86="--"</formula>
    </cfRule>
    <cfRule type="expression" dxfId="1760" priority="2045">
      <formula>G$3=$PP86</formula>
    </cfRule>
    <cfRule type="expression" dxfId="1759" priority="2047">
      <formula>G$3=$PN86</formula>
    </cfRule>
    <cfRule type="expression" dxfId="1758" priority="2049">
      <formula>G$3=$PL86</formula>
    </cfRule>
    <cfRule type="expression" dxfId="1757" priority="2051">
      <formula>IF(G86=0,IF(OR(G$4=6,G$4=7,G$5=1),1,0),0)</formula>
    </cfRule>
    <cfRule type="expression" dxfId="1756" priority="2053">
      <formula>IF($C86&gt;0,IF(G$4=1,1,0),0)</formula>
    </cfRule>
    <cfRule type="expression" dxfId="1755" priority="2055">
      <formula>IF(OR(G86="T1..",G86="T2..",G86="T3..",G86="T4..",G86="T5..",G86="T6..",G86="T7..",G86="T8..",G86="T9.."),1,0)</formula>
    </cfRule>
    <cfRule type="expression" dxfId="1754" priority="2057">
      <formula>IF(OR(G86="T1",G86="T2",G86="T3",G86="T4",G86="T5",G86="T6",G86="T7",G86="T8",G86="T9"),1,0)</formula>
    </cfRule>
    <cfRule type="endsWith" dxfId="1753" priority="2059" operator="endsWith" text="_x">
      <formula>RIGHT(G86,LEN("_x"))="_x"</formula>
    </cfRule>
    <cfRule type="beginsWith" dxfId="1752" priority="2061" operator="beginsWith" text="AS-TL">
      <formula>LEFT(G86,LEN("AS-TL"))="AS-TL"</formula>
    </cfRule>
    <cfRule type="beginsWith" dxfId="1751" priority="2063" operator="beginsWith" text="tbs">
      <formula>LEFT(G86,LEN("tbs"))="tbs"</formula>
    </cfRule>
    <cfRule type="beginsWith" dxfId="1750" priority="2065" operator="beginsWith" text="TL-AS">
      <formula>LEFT(G86,LEN("TL-AS"))="TL-AS"</formula>
    </cfRule>
    <cfRule type="beginsWith" dxfId="1749" priority="2067" operator="beginsWith" text="L">
      <formula>LEFT(G86,LEN("L"))="L"</formula>
    </cfRule>
    <cfRule type="beginsWith" dxfId="1748" priority="2069" operator="beginsWith" text="DC">
      <formula>LEFT(G86,LEN("DC"))="DC"</formula>
    </cfRule>
    <cfRule type="beginsWith" dxfId="1747" priority="2071" operator="beginsWith" text="FP">
      <formula>LEFT(G86,LEN("FP"))="FP"</formula>
    </cfRule>
    <cfRule type="beginsWith" dxfId="1746" priority="2073" operator="beginsWith" text="M-TT">
      <formula>LEFT(G86,LEN("M-TT"))="M-TT"</formula>
    </cfRule>
    <cfRule type="beginsWith" dxfId="1745" priority="2075" operator="beginsWith" text="Ü">
      <formula>LEFT(G86,LEN("Ü"))="Ü"</formula>
    </cfRule>
    <cfRule type="beginsWith" dxfId="1744" priority="2077" operator="beginsWith" text="iW">
      <formula>LEFT(G86,LEN("iW"))="iW"</formula>
    </cfRule>
    <cfRule type="beginsWith" dxfId="1743" priority="2079" operator="beginsWith" text="D">
      <formula>LEFT(G86,LEN("D"))="D"</formula>
    </cfRule>
    <cfRule type="beginsWith" dxfId="1742" priority="2081" operator="beginsWith" text="Kde">
      <formula>LEFT(G86,LEN("Kde"))="Kde"</formula>
    </cfRule>
    <cfRule type="beginsWith" dxfId="1741" priority="2083" operator="beginsWith" text="P">
      <formula>LEFT(G86,LEN("P"))="P"</formula>
    </cfRule>
    <cfRule type="beginsWith" dxfId="1740" priority="2085" operator="beginsWith" text="Is-M">
      <formula>LEFT(G86,LEN("Is-M"))="Is-M"</formula>
    </cfRule>
    <cfRule type="beginsWith" dxfId="1739" priority="2087" operator="beginsWith" text="Is-Id">
      <formula>LEFT(G86,LEN("Is-Id"))="Is-Id"</formula>
    </cfRule>
    <cfRule type="beginsWith" dxfId="1738" priority="2089" operator="beginsWith" text="M-Is">
      <formula>LEFT(G86,LEN("M-Is"))="M-Is"</formula>
    </cfRule>
    <cfRule type="beginsWith" dxfId="1737" priority="2091" operator="beginsWith" text="M-Fe">
      <formula>LEFT(G86,LEN("M-Fe"))="M-Fe"</formula>
    </cfRule>
    <cfRule type="beginsWith" dxfId="1736" priority="2093" operator="beginsWith" text="M-TP">
      <formula>LEFT(G86,LEN("M-TP"))="M-TP"</formula>
    </cfRule>
    <cfRule type="beginsWith" dxfId="1735" priority="2095" operator="beginsWith" text="ZW6">
      <formula>LEFT(G86,LEN("ZW6"))="ZW6"</formula>
    </cfRule>
    <cfRule type="beginsWith" dxfId="1734" priority="2097" operator="beginsWith" text="ZW4">
      <formula>LEFT(G86,LEN("ZW4"))="ZW4"</formula>
    </cfRule>
    <cfRule type="beginsWith" dxfId="1733" priority="2099" operator="beginsWith" text="ZW2">
      <formula>LEFT(G86,LEN("ZW2"))="ZW2"</formula>
    </cfRule>
    <cfRule type="beginsWith" dxfId="1732" priority="2101" operator="beginsWith" text="ZW0">
      <formula>LEFT(G86,LEN("ZW0"))="ZW0"</formula>
    </cfRule>
    <cfRule type="beginsWith" dxfId="1731" priority="2103" operator="beginsWith" text="EW5">
      <formula>LEFT(G86,LEN("EW5"))="EW5"</formula>
    </cfRule>
    <cfRule type="beginsWith" dxfId="1730" priority="2105" operator="beginsWith" text="EW3">
      <formula>LEFT(G86,LEN("EW3"))="EW3"</formula>
    </cfRule>
    <cfRule type="beginsWith" dxfId="1729" priority="2107" operator="beginsWith" text="EW1">
      <formula>LEFT(G86,LEN("EW1"))="EW1"</formula>
    </cfRule>
    <cfRule type="beginsWith" dxfId="1728" priority="2109" operator="beginsWith" text="TL-AS">
      <formula>LEFT(G86,LEN("TL-AS"))="TL-AS"</formula>
    </cfRule>
    <cfRule type="beginsWith" dxfId="1727" priority="2111" operator="beginsWith" text="TL">
      <formula>LEFT(G86,LEN("TL"))="TL"</formula>
    </cfRule>
    <cfRule type="beginsWith" dxfId="1726" priority="2113" operator="beginsWith" text="AF">
      <formula>LEFT(G86,LEN("AF"))="AF"</formula>
    </cfRule>
    <cfRule type="beginsWith" dxfId="1725" priority="2115" operator="beginsWith" text="M-DG">
      <formula>LEFT(G86,LEN("M-DG"))="M-DG"</formula>
    </cfRule>
    <cfRule type="beginsWith" dxfId="1724" priority="2117" operator="beginsWith" text="M-Kde">
      <formula>LEFT(G86,LEN("M-Kde"))="M-Kde"</formula>
    </cfRule>
  </conditionalFormatting>
  <conditionalFormatting sqref="G86:NJ86">
    <cfRule type="beginsWith" dxfId="1723" priority="2041" operator="beginsWith" text="M">
      <formula>LEFT(G86,LEN("M"))="M"</formula>
    </cfRule>
  </conditionalFormatting>
  <conditionalFormatting sqref="G86:NJ86">
    <cfRule type="beginsWith" dxfId="1722" priority="2040" operator="beginsWith" text="Is-MB">
      <formula>LEFT(G86,LEN("Is-MB"))="Is-MB"</formula>
    </cfRule>
  </conditionalFormatting>
  <conditionalFormatting sqref="G86:NJ86">
    <cfRule type="beginsWith" dxfId="1721" priority="2039" operator="beginsWith" text="Y">
      <formula>LEFT(G86,LEN("Y"))="Y"</formula>
    </cfRule>
  </conditionalFormatting>
  <conditionalFormatting sqref="G86:NJ86">
    <cfRule type="beginsWith" dxfId="1720" priority="2038" operator="beginsWith" text="M-FP">
      <formula>LEFT(G86,LEN("M-FP"))="M-FP"</formula>
    </cfRule>
  </conditionalFormatting>
  <conditionalFormatting sqref="G86:NJ86">
    <cfRule type="beginsWith" dxfId="1719" priority="2037" operator="beginsWith" text="ME">
      <formula>LEFT(G86,LEN("ME"))="ME"</formula>
    </cfRule>
  </conditionalFormatting>
  <conditionalFormatting sqref="G86:NJ86">
    <cfRule type="beginsWith" dxfId="1718" priority="2036" operator="beginsWith" text="ME-TL">
      <formula>LEFT(G86,LEN("ME-TL"))="ME-TL"</formula>
    </cfRule>
  </conditionalFormatting>
  <conditionalFormatting sqref="G86:NJ86">
    <cfRule type="beginsWith" dxfId="1717" priority="2035" operator="beginsWith" text="M-W">
      <formula>LEFT(G86,LEN("M-W"))="M-W"</formula>
    </cfRule>
  </conditionalFormatting>
  <conditionalFormatting sqref="A86:E86">
    <cfRule type="expression" dxfId="1716" priority="2119">
      <formula>IF(AND($A86=$A87,#REF!=#REF!,$B86=$B87),0,1)</formula>
    </cfRule>
  </conditionalFormatting>
  <conditionalFormatting sqref="A86:E86">
    <cfRule type="expression" dxfId="1715" priority="2120">
      <formula>$F86="--"</formula>
    </cfRule>
  </conditionalFormatting>
  <conditionalFormatting sqref="A86:E86">
    <cfRule type="expression" dxfId="1714" priority="2121">
      <formula>$F86="-"</formula>
    </cfRule>
  </conditionalFormatting>
  <conditionalFormatting sqref="G90:NJ90">
    <cfRule type="expression" dxfId="1713" priority="1955">
      <formula>$F90="-"</formula>
    </cfRule>
    <cfRule type="expression" dxfId="1712" priority="1957">
      <formula>G$3=$PQ90</formula>
    </cfRule>
    <cfRule type="expression" dxfId="1711" priority="1959">
      <formula>G$3=$PO90</formula>
    </cfRule>
    <cfRule type="expression" dxfId="1710" priority="1961">
      <formula>G$3=$PM90</formula>
    </cfRule>
    <cfRule type="expression" dxfId="1709" priority="1963">
      <formula>IF(AND(RIGHT(G90,1)=".",LEFT(G90,2)&lt;&gt;"T1",LEFT(G90,2)&lt;&gt;"T2",LEFT(G90,2)&lt;&gt;"T3",LEFT(G90,2)&lt;&gt;"T4",LEFT(G90,2)&lt;&gt;"T5",LEFT(G90,2)&lt;&gt;"T6",LEFT(G90,2)&lt;&gt;"T7",LEFT(G90,2)&lt;&gt;"T8",LEFT(G90,2)&lt;&gt;"T9"),1,0)</formula>
    </cfRule>
    <cfRule type="expression" dxfId="1708" priority="1965">
      <formula>IF($C90&gt;0,IF(G$4=7,1,0),0)</formula>
    </cfRule>
    <cfRule type="expression" dxfId="1707" priority="1967">
      <formula>$C90&gt;0</formula>
    </cfRule>
    <cfRule type="expression" dxfId="1706" priority="1969">
      <formula>IF(OR(G90="T1.",G90="T2.",G90="T3.",G90="T4.",G90="T5.",G90="T6.",G90="T7.",G90="T8.",G90="T9."),1,0)</formula>
    </cfRule>
    <cfRule type="endsWith" dxfId="1705" priority="1971" operator="endsWith" text="_A">
      <formula>RIGHT(G90,LEN("_A"))="_A"</formula>
    </cfRule>
    <cfRule type="endsWith" dxfId="1704" priority="1973" operator="endsWith" text="_e">
      <formula>RIGHT(G90,LEN("_e"))="_e"</formula>
    </cfRule>
    <cfRule type="beginsWith" dxfId="1703" priority="1975" operator="beginsWith" text="ME-TL-AS">
      <formula>LEFT(G90,LEN("ME-TL-AS"))="ME-TL-AS"</formula>
    </cfRule>
    <cfRule type="beginsWith" dxfId="1702" priority="1977" operator="beginsWith" text="T-AS">
      <formula>LEFT(G90,LEN("T-AS"))="T-AS"</formula>
    </cfRule>
    <cfRule type="beginsWith" dxfId="1701" priority="1979" operator="beginsWith" text="M-KL">
      <formula>LEFT(G90,LEN("M-KL"))="M-KL"</formula>
    </cfRule>
    <cfRule type="beginsWith" dxfId="1700" priority="1981" operator="beginsWith" text="Ss">
      <formula>LEFT(G90,LEN("Ss"))="Ss"</formula>
    </cfRule>
    <cfRule type="beginsWith" dxfId="1699" priority="1983" operator="beginsWith" text="AC">
      <formula>LEFT(G90,LEN("AC"))="AC"</formula>
    </cfRule>
    <cfRule type="beginsWith" dxfId="1698" priority="1985" operator="beginsWith" text="TT">
      <formula>LEFT(G90,LEN("TT"))="TT"</formula>
    </cfRule>
    <cfRule type="beginsWith" dxfId="1697" priority="1987" operator="beginsWith" text="S">
      <formula>LEFT(G90,LEN("S"))="S"</formula>
    </cfRule>
    <cfRule type="beginsWith" dxfId="1696" priority="1989" operator="beginsWith" text="PK">
      <formula>LEFT(G90,LEN("PK"))="PK"</formula>
    </cfRule>
    <cfRule type="beginsWith" dxfId="1695" priority="1991" operator="beginsWith" text="W">
      <formula>LEFT(G90,LEN("W"))="W"</formula>
    </cfRule>
    <cfRule type="beginsWith" dxfId="1694" priority="1993" operator="beginsWith" text="Id">
      <formula>LEFT(G90,LEN("Id"))="Id"</formula>
    </cfRule>
    <cfRule type="beginsWith" dxfId="1693" priority="1995" operator="beginsWith" text="K">
      <formula>LEFT(G90,LEN("K"))="K"</formula>
    </cfRule>
    <cfRule type="beginsWith" dxfId="1692" priority="1997" operator="beginsWith" text="Is-ME">
      <formula>LEFT(G90,LEN("Is-ME"))="Is-ME"</formula>
    </cfRule>
    <cfRule type="beginsWith" dxfId="1691" priority="1999" operator="beginsWith" text="Is-Fe">
      <formula>LEFT(G90,LEN("Is-Fe"))="Is-Fe"</formula>
    </cfRule>
    <cfRule type="beginsWith" dxfId="1690" priority="2001" operator="beginsWith" text="Is">
      <formula>LEFT(G90,LEN("Is"))="Is"</formula>
    </cfRule>
    <cfRule type="beginsWith" dxfId="1689" priority="2003" operator="beginsWith" text="T">
      <formula>LEFT(G90,LEN("T"))="T"</formula>
    </cfRule>
    <cfRule type="beginsWith" dxfId="1688" priority="2005" operator="beginsWith" text="Mg">
      <formula>LEFT(G90,LEN("Mg"))="Mg"</formula>
    </cfRule>
    <cfRule type="beginsWith" dxfId="1687" priority="2007" operator="beginsWith" text="VM">
      <formula>LEFT(G90,LEN("VM"))="VM"</formula>
    </cfRule>
    <cfRule type="beginsWith" dxfId="1686" priority="2009" operator="beginsWith" text="ZW5">
      <formula>LEFT(G90,LEN("ZW5"))="ZW5"</formula>
    </cfRule>
    <cfRule type="beginsWith" dxfId="1685" priority="2011" operator="beginsWith" text="ZW3">
      <formula>LEFT(G90,LEN("ZW3"))="ZW3"</formula>
    </cfRule>
    <cfRule type="beginsWith" dxfId="1684" priority="2013" operator="beginsWith" text="ZW1">
      <formula>LEFT(G90,LEN("ZW1"))="ZW1"</formula>
    </cfRule>
    <cfRule type="beginsWith" dxfId="1683" priority="2015" operator="beginsWith" text="EW6">
      <formula>LEFT(G90,LEN("EW6"))="EW6"</formula>
    </cfRule>
    <cfRule type="beginsWith" dxfId="1682" priority="2017" operator="beginsWith" text="EW4">
      <formula>LEFT(G90,LEN("EW4"))="EW4"</formula>
    </cfRule>
    <cfRule type="beginsWith" dxfId="1681" priority="2019" operator="beginsWith" text="EW2">
      <formula>LEFT(G90,LEN("EW2"))="EW2"</formula>
    </cfRule>
    <cfRule type="beginsWith" dxfId="1680" priority="2021" operator="beginsWith" text="M-AS">
      <formula>LEFT(G90,LEN("M-AS"))="M-AS"</formula>
    </cfRule>
    <cfRule type="beginsWith" dxfId="1679" priority="2023" operator="beginsWith" text="TLP">
      <formula>LEFT(G90,LEN("TLP"))="TLP"</formula>
    </cfRule>
    <cfRule type="beginsWith" dxfId="1678" priority="2025" operator="beginsWith" text="US">
      <formula>LEFT(G90,LEN("US"))="US"</formula>
    </cfRule>
    <cfRule type="beginsWith" dxfId="1677" priority="2027" operator="beginsWith" text="AS">
      <formula>LEFT(G90,LEN("AS"))="AS"</formula>
    </cfRule>
    <cfRule type="beginsWith" dxfId="1676" priority="2029" operator="beginsWith" text="M-iW">
      <formula>LEFT(G90,LEN("M-iW"))="M-iW"</formula>
    </cfRule>
    <cfRule type="beginsWith" dxfId="1675" priority="2031" operator="beginsWith" text="MB">
      <formula>LEFT(G90,LEN("MB"))="MB"</formula>
    </cfRule>
  </conditionalFormatting>
  <conditionalFormatting sqref="G90:NJ90">
    <cfRule type="expression" dxfId="1674" priority="1956">
      <formula>$F90="--"</formula>
    </cfRule>
    <cfRule type="expression" dxfId="1673" priority="1958">
      <formula>G$3=$PP90</formula>
    </cfRule>
    <cfRule type="expression" dxfId="1672" priority="1960">
      <formula>G$3=$PN90</formula>
    </cfRule>
    <cfRule type="expression" dxfId="1671" priority="1962">
      <formula>G$3=$PL90</formula>
    </cfRule>
    <cfRule type="expression" dxfId="1670" priority="1964">
      <formula>IF(G90=0,IF(OR(G$4=6,G$4=7,G$5=1),1,0),0)</formula>
    </cfRule>
    <cfRule type="expression" dxfId="1669" priority="1966">
      <formula>IF($C90&gt;0,IF(G$4=1,1,0),0)</formula>
    </cfRule>
    <cfRule type="expression" dxfId="1668" priority="1968">
      <formula>IF(OR(G90="T1..",G90="T2..",G90="T3..",G90="T4..",G90="T5..",G90="T6..",G90="T7..",G90="T8..",G90="T9.."),1,0)</formula>
    </cfRule>
    <cfRule type="expression" dxfId="1667" priority="1970">
      <formula>IF(OR(G90="T1",G90="T2",G90="T3",G90="T4",G90="T5",G90="T6",G90="T7",G90="T8",G90="T9"),1,0)</formula>
    </cfRule>
    <cfRule type="endsWith" dxfId="1666" priority="1972" operator="endsWith" text="_x">
      <formula>RIGHT(G90,LEN("_x"))="_x"</formula>
    </cfRule>
    <cfRule type="beginsWith" dxfId="1665" priority="1974" operator="beginsWith" text="AS-TL">
      <formula>LEFT(G90,LEN("AS-TL"))="AS-TL"</formula>
    </cfRule>
    <cfRule type="beginsWith" dxfId="1664" priority="1976" operator="beginsWith" text="tbs">
      <formula>LEFT(G90,LEN("tbs"))="tbs"</formula>
    </cfRule>
    <cfRule type="beginsWith" dxfId="1663" priority="1978" operator="beginsWith" text="TL-AS">
      <formula>LEFT(G90,LEN("TL-AS"))="TL-AS"</formula>
    </cfRule>
    <cfRule type="beginsWith" dxfId="1662" priority="1980" operator="beginsWith" text="L">
      <formula>LEFT(G90,LEN("L"))="L"</formula>
    </cfRule>
    <cfRule type="beginsWith" dxfId="1661" priority="1982" operator="beginsWith" text="DC">
      <formula>LEFT(G90,LEN("DC"))="DC"</formula>
    </cfRule>
    <cfRule type="beginsWith" dxfId="1660" priority="1984" operator="beginsWith" text="FP">
      <formula>LEFT(G90,LEN("FP"))="FP"</formula>
    </cfRule>
    <cfRule type="beginsWith" dxfId="1659" priority="1986" operator="beginsWith" text="M-TT">
      <formula>LEFT(G90,LEN("M-TT"))="M-TT"</formula>
    </cfRule>
    <cfRule type="beginsWith" dxfId="1658" priority="1988" operator="beginsWith" text="Ü">
      <formula>LEFT(G90,LEN("Ü"))="Ü"</formula>
    </cfRule>
    <cfRule type="beginsWith" dxfId="1657" priority="1990" operator="beginsWith" text="iW">
      <formula>LEFT(G90,LEN("iW"))="iW"</formula>
    </cfRule>
    <cfRule type="beginsWith" dxfId="1656" priority="1992" operator="beginsWith" text="D">
      <formula>LEFT(G90,LEN("D"))="D"</formula>
    </cfRule>
    <cfRule type="beginsWith" dxfId="1655" priority="1994" operator="beginsWith" text="Kde">
      <formula>LEFT(G90,LEN("Kde"))="Kde"</formula>
    </cfRule>
    <cfRule type="beginsWith" dxfId="1654" priority="1996" operator="beginsWith" text="P">
      <formula>LEFT(G90,LEN("P"))="P"</formula>
    </cfRule>
    <cfRule type="beginsWith" dxfId="1653" priority="1998" operator="beginsWith" text="Is-M">
      <formula>LEFT(G90,LEN("Is-M"))="Is-M"</formula>
    </cfRule>
    <cfRule type="beginsWith" dxfId="1652" priority="2000" operator="beginsWith" text="Is-Id">
      <formula>LEFT(G90,LEN("Is-Id"))="Is-Id"</formula>
    </cfRule>
    <cfRule type="beginsWith" dxfId="1651" priority="2002" operator="beginsWith" text="M-Is">
      <formula>LEFT(G90,LEN("M-Is"))="M-Is"</formula>
    </cfRule>
    <cfRule type="beginsWith" dxfId="1650" priority="2004" operator="beginsWith" text="M-Fe">
      <formula>LEFT(G90,LEN("M-Fe"))="M-Fe"</formula>
    </cfRule>
    <cfRule type="beginsWith" dxfId="1649" priority="2006" operator="beginsWith" text="M-TP">
      <formula>LEFT(G90,LEN("M-TP"))="M-TP"</formula>
    </cfRule>
    <cfRule type="beginsWith" dxfId="1648" priority="2008" operator="beginsWith" text="ZW6">
      <formula>LEFT(G90,LEN("ZW6"))="ZW6"</formula>
    </cfRule>
    <cfRule type="beginsWith" dxfId="1647" priority="2010" operator="beginsWith" text="ZW4">
      <formula>LEFT(G90,LEN("ZW4"))="ZW4"</formula>
    </cfRule>
    <cfRule type="beginsWith" dxfId="1646" priority="2012" operator="beginsWith" text="ZW2">
      <formula>LEFT(G90,LEN("ZW2"))="ZW2"</formula>
    </cfRule>
    <cfRule type="beginsWith" dxfId="1645" priority="2014" operator="beginsWith" text="ZW0">
      <formula>LEFT(G90,LEN("ZW0"))="ZW0"</formula>
    </cfRule>
    <cfRule type="beginsWith" dxfId="1644" priority="2016" operator="beginsWith" text="EW5">
      <formula>LEFT(G90,LEN("EW5"))="EW5"</formula>
    </cfRule>
    <cfRule type="beginsWith" dxfId="1643" priority="2018" operator="beginsWith" text="EW3">
      <formula>LEFT(G90,LEN("EW3"))="EW3"</formula>
    </cfRule>
    <cfRule type="beginsWith" dxfId="1642" priority="2020" operator="beginsWith" text="EW1">
      <formula>LEFT(G90,LEN("EW1"))="EW1"</formula>
    </cfRule>
    <cfRule type="beginsWith" dxfId="1641" priority="2022" operator="beginsWith" text="TL-AS">
      <formula>LEFT(G90,LEN("TL-AS"))="TL-AS"</formula>
    </cfRule>
    <cfRule type="beginsWith" dxfId="1640" priority="2024" operator="beginsWith" text="TL">
      <formula>LEFT(G90,LEN("TL"))="TL"</formula>
    </cfRule>
    <cfRule type="beginsWith" dxfId="1639" priority="2026" operator="beginsWith" text="AF">
      <formula>LEFT(G90,LEN("AF"))="AF"</formula>
    </cfRule>
    <cfRule type="beginsWith" dxfId="1638" priority="2028" operator="beginsWith" text="M-DG">
      <formula>LEFT(G90,LEN("M-DG"))="M-DG"</formula>
    </cfRule>
    <cfRule type="beginsWith" dxfId="1637" priority="2030" operator="beginsWith" text="M-Kde">
      <formula>LEFT(G90,LEN("M-Kde"))="M-Kde"</formula>
    </cfRule>
  </conditionalFormatting>
  <conditionalFormatting sqref="G90:NJ90">
    <cfRule type="beginsWith" dxfId="1636" priority="1954" operator="beginsWith" text="M">
      <formula>LEFT(G90,LEN("M"))="M"</formula>
    </cfRule>
  </conditionalFormatting>
  <conditionalFormatting sqref="G90:NJ90">
    <cfRule type="beginsWith" dxfId="1635" priority="1953" operator="beginsWith" text="Is-MB">
      <formula>LEFT(G90,LEN("Is-MB"))="Is-MB"</formula>
    </cfRule>
  </conditionalFormatting>
  <conditionalFormatting sqref="G90:NJ90">
    <cfRule type="beginsWith" dxfId="1634" priority="1952" operator="beginsWith" text="Y">
      <formula>LEFT(G90,LEN("Y"))="Y"</formula>
    </cfRule>
  </conditionalFormatting>
  <conditionalFormatting sqref="G90:NJ90">
    <cfRule type="beginsWith" dxfId="1633" priority="1951" operator="beginsWith" text="M-FP">
      <formula>LEFT(G90,LEN("M-FP"))="M-FP"</formula>
    </cfRule>
  </conditionalFormatting>
  <conditionalFormatting sqref="G90:NJ90">
    <cfRule type="beginsWith" dxfId="1632" priority="1950" operator="beginsWith" text="ME">
      <formula>LEFT(G90,LEN("ME"))="ME"</formula>
    </cfRule>
  </conditionalFormatting>
  <conditionalFormatting sqref="G90:NJ90">
    <cfRule type="beginsWith" dxfId="1631" priority="1949" operator="beginsWith" text="ME-TL">
      <formula>LEFT(G90,LEN("ME-TL"))="ME-TL"</formula>
    </cfRule>
  </conditionalFormatting>
  <conditionalFormatting sqref="G90:NJ90">
    <cfRule type="beginsWith" dxfId="1630" priority="1948" operator="beginsWith" text="M-W">
      <formula>LEFT(G90,LEN("M-W"))="M-W"</formula>
    </cfRule>
  </conditionalFormatting>
  <conditionalFormatting sqref="A90:E90">
    <cfRule type="expression" dxfId="1629" priority="2032">
      <formula>IF(AND($A90=$A91,#REF!=#REF!,$B90=$B91),0,1)</formula>
    </cfRule>
  </conditionalFormatting>
  <conditionalFormatting sqref="A90:E90">
    <cfRule type="expression" dxfId="1628" priority="2033">
      <formula>$F90="--"</formula>
    </cfRule>
  </conditionalFormatting>
  <conditionalFormatting sqref="A90:E90">
    <cfRule type="expression" dxfId="1627" priority="2034">
      <formula>$F90="-"</formula>
    </cfRule>
  </conditionalFormatting>
  <conditionalFormatting sqref="G94:NJ94">
    <cfRule type="expression" dxfId="1626" priority="1868">
      <formula>$F94="-"</formula>
    </cfRule>
    <cfRule type="expression" dxfId="1625" priority="1870">
      <formula>G$3=$PQ94</formula>
    </cfRule>
    <cfRule type="expression" dxfId="1624" priority="1872">
      <formula>G$3=$PO94</formula>
    </cfRule>
    <cfRule type="expression" dxfId="1623" priority="1874">
      <formula>G$3=$PM94</formula>
    </cfRule>
    <cfRule type="expression" dxfId="1622" priority="1876">
      <formula>IF(AND(RIGHT(G94,1)=".",LEFT(G94,2)&lt;&gt;"T1",LEFT(G94,2)&lt;&gt;"T2",LEFT(G94,2)&lt;&gt;"T3",LEFT(G94,2)&lt;&gt;"T4",LEFT(G94,2)&lt;&gt;"T5",LEFT(G94,2)&lt;&gt;"T6",LEFT(G94,2)&lt;&gt;"T7",LEFT(G94,2)&lt;&gt;"T8",LEFT(G94,2)&lt;&gt;"T9"),1,0)</formula>
    </cfRule>
    <cfRule type="expression" dxfId="1621" priority="1878">
      <formula>IF($C94&gt;0,IF(G$4=7,1,0),0)</formula>
    </cfRule>
    <cfRule type="expression" dxfId="1620" priority="1880">
      <formula>$C94&gt;0</formula>
    </cfRule>
    <cfRule type="expression" dxfId="1619" priority="1882">
      <formula>IF(OR(G94="T1.",G94="T2.",G94="T3.",G94="T4.",G94="T5.",G94="T6.",G94="T7.",G94="T8.",G94="T9."),1,0)</formula>
    </cfRule>
    <cfRule type="endsWith" dxfId="1618" priority="1884" operator="endsWith" text="_A">
      <formula>RIGHT(G94,LEN("_A"))="_A"</formula>
    </cfRule>
    <cfRule type="endsWith" dxfId="1617" priority="1886" operator="endsWith" text="_e">
      <formula>RIGHT(G94,LEN("_e"))="_e"</formula>
    </cfRule>
    <cfRule type="beginsWith" dxfId="1616" priority="1888" operator="beginsWith" text="ME-TL-AS">
      <formula>LEFT(G94,LEN("ME-TL-AS"))="ME-TL-AS"</formula>
    </cfRule>
    <cfRule type="beginsWith" dxfId="1615" priority="1890" operator="beginsWith" text="T-AS">
      <formula>LEFT(G94,LEN("T-AS"))="T-AS"</formula>
    </cfRule>
    <cfRule type="beginsWith" dxfId="1614" priority="1892" operator="beginsWith" text="M-KL">
      <formula>LEFT(G94,LEN("M-KL"))="M-KL"</formula>
    </cfRule>
    <cfRule type="beginsWith" dxfId="1613" priority="1894" operator="beginsWith" text="Ss">
      <formula>LEFT(G94,LEN("Ss"))="Ss"</formula>
    </cfRule>
    <cfRule type="beginsWith" dxfId="1612" priority="1896" operator="beginsWith" text="AC">
      <formula>LEFT(G94,LEN("AC"))="AC"</formula>
    </cfRule>
    <cfRule type="beginsWith" dxfId="1611" priority="1898" operator="beginsWith" text="TT">
      <formula>LEFT(G94,LEN("TT"))="TT"</formula>
    </cfRule>
    <cfRule type="beginsWith" dxfId="1610" priority="1900" operator="beginsWith" text="S">
      <formula>LEFT(G94,LEN("S"))="S"</formula>
    </cfRule>
    <cfRule type="beginsWith" dxfId="1609" priority="1902" operator="beginsWith" text="PK">
      <formula>LEFT(G94,LEN("PK"))="PK"</formula>
    </cfRule>
    <cfRule type="beginsWith" dxfId="1608" priority="1904" operator="beginsWith" text="W">
      <formula>LEFT(G94,LEN("W"))="W"</formula>
    </cfRule>
    <cfRule type="beginsWith" dxfId="1607" priority="1906" operator="beginsWith" text="Id">
      <formula>LEFT(G94,LEN("Id"))="Id"</formula>
    </cfRule>
    <cfRule type="beginsWith" dxfId="1606" priority="1908" operator="beginsWith" text="K">
      <formula>LEFT(G94,LEN("K"))="K"</formula>
    </cfRule>
    <cfRule type="beginsWith" dxfId="1605" priority="1910" operator="beginsWith" text="Is-ME">
      <formula>LEFT(G94,LEN("Is-ME"))="Is-ME"</formula>
    </cfRule>
    <cfRule type="beginsWith" dxfId="1604" priority="1912" operator="beginsWith" text="Is-Fe">
      <formula>LEFT(G94,LEN("Is-Fe"))="Is-Fe"</formula>
    </cfRule>
    <cfRule type="beginsWith" dxfId="1603" priority="1914" operator="beginsWith" text="Is">
      <formula>LEFT(G94,LEN("Is"))="Is"</formula>
    </cfRule>
    <cfRule type="beginsWith" dxfId="1602" priority="1916" operator="beginsWith" text="T">
      <formula>LEFT(G94,LEN("T"))="T"</formula>
    </cfRule>
    <cfRule type="beginsWith" dxfId="1601" priority="1918" operator="beginsWith" text="Mg">
      <formula>LEFT(G94,LEN("Mg"))="Mg"</formula>
    </cfRule>
    <cfRule type="beginsWith" dxfId="1600" priority="1920" operator="beginsWith" text="VM">
      <formula>LEFT(G94,LEN("VM"))="VM"</formula>
    </cfRule>
    <cfRule type="beginsWith" dxfId="1599" priority="1922" operator="beginsWith" text="ZW5">
      <formula>LEFT(G94,LEN("ZW5"))="ZW5"</formula>
    </cfRule>
    <cfRule type="beginsWith" dxfId="1598" priority="1924" operator="beginsWith" text="ZW3">
      <formula>LEFT(G94,LEN("ZW3"))="ZW3"</formula>
    </cfRule>
    <cfRule type="beginsWith" dxfId="1597" priority="1926" operator="beginsWith" text="ZW1">
      <formula>LEFT(G94,LEN("ZW1"))="ZW1"</formula>
    </cfRule>
    <cfRule type="beginsWith" dxfId="1596" priority="1928" operator="beginsWith" text="EW6">
      <formula>LEFT(G94,LEN("EW6"))="EW6"</formula>
    </cfRule>
    <cfRule type="beginsWith" dxfId="1595" priority="1930" operator="beginsWith" text="EW4">
      <formula>LEFT(G94,LEN("EW4"))="EW4"</formula>
    </cfRule>
    <cfRule type="beginsWith" dxfId="1594" priority="1932" operator="beginsWith" text="EW2">
      <formula>LEFT(G94,LEN("EW2"))="EW2"</formula>
    </cfRule>
    <cfRule type="beginsWith" dxfId="1593" priority="1934" operator="beginsWith" text="M-AS">
      <formula>LEFT(G94,LEN("M-AS"))="M-AS"</formula>
    </cfRule>
    <cfRule type="beginsWith" dxfId="1592" priority="1936" operator="beginsWith" text="TLP">
      <formula>LEFT(G94,LEN("TLP"))="TLP"</formula>
    </cfRule>
    <cfRule type="beginsWith" dxfId="1591" priority="1938" operator="beginsWith" text="US">
      <formula>LEFT(G94,LEN("US"))="US"</formula>
    </cfRule>
    <cfRule type="beginsWith" dxfId="1590" priority="1940" operator="beginsWith" text="AS">
      <formula>LEFT(G94,LEN("AS"))="AS"</formula>
    </cfRule>
    <cfRule type="beginsWith" dxfId="1589" priority="1942" operator="beginsWith" text="M-iW">
      <formula>LEFT(G94,LEN("M-iW"))="M-iW"</formula>
    </cfRule>
    <cfRule type="beginsWith" dxfId="1588" priority="1944" operator="beginsWith" text="MB">
      <formula>LEFT(G94,LEN("MB"))="MB"</formula>
    </cfRule>
  </conditionalFormatting>
  <conditionalFormatting sqref="G94:NJ94">
    <cfRule type="expression" dxfId="1587" priority="1869">
      <formula>$F94="--"</formula>
    </cfRule>
    <cfRule type="expression" dxfId="1586" priority="1871">
      <formula>G$3=$PP94</formula>
    </cfRule>
    <cfRule type="expression" dxfId="1585" priority="1873">
      <formula>G$3=$PN94</formula>
    </cfRule>
    <cfRule type="expression" dxfId="1584" priority="1875">
      <formula>G$3=$PL94</formula>
    </cfRule>
    <cfRule type="expression" dxfId="1583" priority="1877">
      <formula>IF(G94=0,IF(OR(G$4=6,G$4=7,G$5=1),1,0),0)</formula>
    </cfRule>
    <cfRule type="expression" dxfId="1582" priority="1879">
      <formula>IF($C94&gt;0,IF(G$4=1,1,0),0)</formula>
    </cfRule>
    <cfRule type="expression" dxfId="1581" priority="1881">
      <formula>IF(OR(G94="T1..",G94="T2..",G94="T3..",G94="T4..",G94="T5..",G94="T6..",G94="T7..",G94="T8..",G94="T9.."),1,0)</formula>
    </cfRule>
    <cfRule type="expression" dxfId="1580" priority="1883">
      <formula>IF(OR(G94="T1",G94="T2",G94="T3",G94="T4",G94="T5",G94="T6",G94="T7",G94="T8",G94="T9"),1,0)</formula>
    </cfRule>
    <cfRule type="endsWith" dxfId="1579" priority="1885" operator="endsWith" text="_x">
      <formula>RIGHT(G94,LEN("_x"))="_x"</formula>
    </cfRule>
    <cfRule type="beginsWith" dxfId="1578" priority="1887" operator="beginsWith" text="AS-TL">
      <formula>LEFT(G94,LEN("AS-TL"))="AS-TL"</formula>
    </cfRule>
    <cfRule type="beginsWith" dxfId="1577" priority="1889" operator="beginsWith" text="tbs">
      <formula>LEFT(G94,LEN("tbs"))="tbs"</formula>
    </cfRule>
    <cfRule type="beginsWith" dxfId="1576" priority="1891" operator="beginsWith" text="TL-AS">
      <formula>LEFT(G94,LEN("TL-AS"))="TL-AS"</formula>
    </cfRule>
    <cfRule type="beginsWith" dxfId="1575" priority="1893" operator="beginsWith" text="L">
      <formula>LEFT(G94,LEN("L"))="L"</formula>
    </cfRule>
    <cfRule type="beginsWith" dxfId="1574" priority="1895" operator="beginsWith" text="DC">
      <formula>LEFT(G94,LEN("DC"))="DC"</formula>
    </cfRule>
    <cfRule type="beginsWith" dxfId="1573" priority="1897" operator="beginsWith" text="FP">
      <formula>LEFT(G94,LEN("FP"))="FP"</formula>
    </cfRule>
    <cfRule type="beginsWith" dxfId="1572" priority="1899" operator="beginsWith" text="M-TT">
      <formula>LEFT(G94,LEN("M-TT"))="M-TT"</formula>
    </cfRule>
    <cfRule type="beginsWith" dxfId="1571" priority="1901" operator="beginsWith" text="Ü">
      <formula>LEFT(G94,LEN("Ü"))="Ü"</formula>
    </cfRule>
    <cfRule type="beginsWith" dxfId="1570" priority="1903" operator="beginsWith" text="iW">
      <formula>LEFT(G94,LEN("iW"))="iW"</formula>
    </cfRule>
    <cfRule type="beginsWith" dxfId="1569" priority="1905" operator="beginsWith" text="D">
      <formula>LEFT(G94,LEN("D"))="D"</formula>
    </cfRule>
    <cfRule type="beginsWith" dxfId="1568" priority="1907" operator="beginsWith" text="Kde">
      <formula>LEFT(G94,LEN("Kde"))="Kde"</formula>
    </cfRule>
    <cfRule type="beginsWith" dxfId="1567" priority="1909" operator="beginsWith" text="P">
      <formula>LEFT(G94,LEN("P"))="P"</formula>
    </cfRule>
    <cfRule type="beginsWith" dxfId="1566" priority="1911" operator="beginsWith" text="Is-M">
      <formula>LEFT(G94,LEN("Is-M"))="Is-M"</formula>
    </cfRule>
    <cfRule type="beginsWith" dxfId="1565" priority="1913" operator="beginsWith" text="Is-Id">
      <formula>LEFT(G94,LEN("Is-Id"))="Is-Id"</formula>
    </cfRule>
    <cfRule type="beginsWith" dxfId="1564" priority="1915" operator="beginsWith" text="M-Is">
      <formula>LEFT(G94,LEN("M-Is"))="M-Is"</formula>
    </cfRule>
    <cfRule type="beginsWith" dxfId="1563" priority="1917" operator="beginsWith" text="M-Fe">
      <formula>LEFT(G94,LEN("M-Fe"))="M-Fe"</formula>
    </cfRule>
    <cfRule type="beginsWith" dxfId="1562" priority="1919" operator="beginsWith" text="M-TP">
      <formula>LEFT(G94,LEN("M-TP"))="M-TP"</formula>
    </cfRule>
    <cfRule type="beginsWith" dxfId="1561" priority="1921" operator="beginsWith" text="ZW6">
      <formula>LEFT(G94,LEN("ZW6"))="ZW6"</formula>
    </cfRule>
    <cfRule type="beginsWith" dxfId="1560" priority="1923" operator="beginsWith" text="ZW4">
      <formula>LEFT(G94,LEN("ZW4"))="ZW4"</formula>
    </cfRule>
    <cfRule type="beginsWith" dxfId="1559" priority="1925" operator="beginsWith" text="ZW2">
      <formula>LEFT(G94,LEN("ZW2"))="ZW2"</formula>
    </cfRule>
    <cfRule type="beginsWith" dxfId="1558" priority="1927" operator="beginsWith" text="ZW0">
      <formula>LEFT(G94,LEN("ZW0"))="ZW0"</formula>
    </cfRule>
    <cfRule type="beginsWith" dxfId="1557" priority="1929" operator="beginsWith" text="EW5">
      <formula>LEFT(G94,LEN("EW5"))="EW5"</formula>
    </cfRule>
    <cfRule type="beginsWith" dxfId="1556" priority="1931" operator="beginsWith" text="EW3">
      <formula>LEFT(G94,LEN("EW3"))="EW3"</formula>
    </cfRule>
    <cfRule type="beginsWith" dxfId="1555" priority="1933" operator="beginsWith" text="EW1">
      <formula>LEFT(G94,LEN("EW1"))="EW1"</formula>
    </cfRule>
    <cfRule type="beginsWith" dxfId="1554" priority="1935" operator="beginsWith" text="TL-AS">
      <formula>LEFT(G94,LEN("TL-AS"))="TL-AS"</formula>
    </cfRule>
    <cfRule type="beginsWith" dxfId="1553" priority="1937" operator="beginsWith" text="TL">
      <formula>LEFT(G94,LEN("TL"))="TL"</formula>
    </cfRule>
    <cfRule type="beginsWith" dxfId="1552" priority="1939" operator="beginsWith" text="AF">
      <formula>LEFT(G94,LEN("AF"))="AF"</formula>
    </cfRule>
    <cfRule type="beginsWith" dxfId="1551" priority="1941" operator="beginsWith" text="M-DG">
      <formula>LEFT(G94,LEN("M-DG"))="M-DG"</formula>
    </cfRule>
    <cfRule type="beginsWith" dxfId="1550" priority="1943" operator="beginsWith" text="M-Kde">
      <formula>LEFT(G94,LEN("M-Kde"))="M-Kde"</formula>
    </cfRule>
  </conditionalFormatting>
  <conditionalFormatting sqref="G94:NJ94">
    <cfRule type="beginsWith" dxfId="1549" priority="1867" operator="beginsWith" text="M">
      <formula>LEFT(G94,LEN("M"))="M"</formula>
    </cfRule>
  </conditionalFormatting>
  <conditionalFormatting sqref="G94:NJ94">
    <cfRule type="beginsWith" dxfId="1548" priority="1866" operator="beginsWith" text="Is-MB">
      <formula>LEFT(G94,LEN("Is-MB"))="Is-MB"</formula>
    </cfRule>
  </conditionalFormatting>
  <conditionalFormatting sqref="G94:NJ94">
    <cfRule type="beginsWith" dxfId="1547" priority="1865" operator="beginsWith" text="Y">
      <formula>LEFT(G94,LEN("Y"))="Y"</formula>
    </cfRule>
  </conditionalFormatting>
  <conditionalFormatting sqref="G94:NJ94">
    <cfRule type="beginsWith" dxfId="1546" priority="1864" operator="beginsWith" text="M-FP">
      <formula>LEFT(G94,LEN("M-FP"))="M-FP"</formula>
    </cfRule>
  </conditionalFormatting>
  <conditionalFormatting sqref="G94:NJ94">
    <cfRule type="beginsWith" dxfId="1545" priority="1863" operator="beginsWith" text="ME">
      <formula>LEFT(G94,LEN("ME"))="ME"</formula>
    </cfRule>
  </conditionalFormatting>
  <conditionalFormatting sqref="G94:NJ94">
    <cfRule type="beginsWith" dxfId="1544" priority="1862" operator="beginsWith" text="ME-TL">
      <formula>LEFT(G94,LEN("ME-TL"))="ME-TL"</formula>
    </cfRule>
  </conditionalFormatting>
  <conditionalFormatting sqref="G94:NJ94">
    <cfRule type="beginsWith" dxfId="1543" priority="1861" operator="beginsWith" text="M-W">
      <formula>LEFT(G94,LEN("M-W"))="M-W"</formula>
    </cfRule>
  </conditionalFormatting>
  <conditionalFormatting sqref="A94:E94">
    <cfRule type="expression" dxfId="1542" priority="1945">
      <formula>IF(AND($A94=$A95,#REF!=#REF!,$B94=$B95),0,1)</formula>
    </cfRule>
  </conditionalFormatting>
  <conditionalFormatting sqref="A94:E94">
    <cfRule type="expression" dxfId="1541" priority="1946">
      <formula>$F94="--"</formula>
    </cfRule>
  </conditionalFormatting>
  <conditionalFormatting sqref="A94:E94">
    <cfRule type="expression" dxfId="1540" priority="1947">
      <formula>$F94="-"</formula>
    </cfRule>
  </conditionalFormatting>
  <conditionalFormatting sqref="G98:NJ98">
    <cfRule type="expression" dxfId="1539" priority="1781">
      <formula>$F98="-"</formula>
    </cfRule>
    <cfRule type="expression" dxfId="1538" priority="1783">
      <formula>G$3=$PQ98</formula>
    </cfRule>
    <cfRule type="expression" dxfId="1537" priority="1785">
      <formula>G$3=$PO98</formula>
    </cfRule>
    <cfRule type="expression" dxfId="1536" priority="1787">
      <formula>G$3=$PM98</formula>
    </cfRule>
    <cfRule type="expression" dxfId="1535" priority="1789">
      <formula>IF(AND(RIGHT(G98,1)=".",LEFT(G98,2)&lt;&gt;"T1",LEFT(G98,2)&lt;&gt;"T2",LEFT(G98,2)&lt;&gt;"T3",LEFT(G98,2)&lt;&gt;"T4",LEFT(G98,2)&lt;&gt;"T5",LEFT(G98,2)&lt;&gt;"T6",LEFT(G98,2)&lt;&gt;"T7",LEFT(G98,2)&lt;&gt;"T8",LEFT(G98,2)&lt;&gt;"T9"),1,0)</formula>
    </cfRule>
    <cfRule type="expression" dxfId="1534" priority="1791">
      <formula>IF($C98&gt;0,IF(G$4=7,1,0),0)</formula>
    </cfRule>
    <cfRule type="expression" dxfId="1533" priority="1793">
      <formula>$C98&gt;0</formula>
    </cfRule>
    <cfRule type="expression" dxfId="1532" priority="1795">
      <formula>IF(OR(G98="T1.",G98="T2.",G98="T3.",G98="T4.",G98="T5.",G98="T6.",G98="T7.",G98="T8.",G98="T9."),1,0)</formula>
    </cfRule>
    <cfRule type="endsWith" dxfId="1531" priority="1797" operator="endsWith" text="_A">
      <formula>RIGHT(G98,LEN("_A"))="_A"</formula>
    </cfRule>
    <cfRule type="endsWith" dxfId="1530" priority="1799" operator="endsWith" text="_e">
      <formula>RIGHT(G98,LEN("_e"))="_e"</formula>
    </cfRule>
    <cfRule type="beginsWith" dxfId="1529" priority="1801" operator="beginsWith" text="ME-TL-AS">
      <formula>LEFT(G98,LEN("ME-TL-AS"))="ME-TL-AS"</formula>
    </cfRule>
    <cfRule type="beginsWith" dxfId="1528" priority="1803" operator="beginsWith" text="T-AS">
      <formula>LEFT(G98,LEN("T-AS"))="T-AS"</formula>
    </cfRule>
    <cfRule type="beginsWith" dxfId="1527" priority="1805" operator="beginsWith" text="M-KL">
      <formula>LEFT(G98,LEN("M-KL"))="M-KL"</formula>
    </cfRule>
    <cfRule type="beginsWith" dxfId="1526" priority="1807" operator="beginsWith" text="Ss">
      <formula>LEFT(G98,LEN("Ss"))="Ss"</formula>
    </cfRule>
    <cfRule type="beginsWith" dxfId="1525" priority="1809" operator="beginsWith" text="AC">
      <formula>LEFT(G98,LEN("AC"))="AC"</formula>
    </cfRule>
    <cfRule type="beginsWith" dxfId="1524" priority="1811" operator="beginsWith" text="TT">
      <formula>LEFT(G98,LEN("TT"))="TT"</formula>
    </cfRule>
    <cfRule type="beginsWith" dxfId="1523" priority="1813" operator="beginsWith" text="S">
      <formula>LEFT(G98,LEN("S"))="S"</formula>
    </cfRule>
    <cfRule type="beginsWith" dxfId="1522" priority="1815" operator="beginsWith" text="PK">
      <formula>LEFT(G98,LEN("PK"))="PK"</formula>
    </cfRule>
    <cfRule type="beginsWith" dxfId="1521" priority="1817" operator="beginsWith" text="W">
      <formula>LEFT(G98,LEN("W"))="W"</formula>
    </cfRule>
    <cfRule type="beginsWith" dxfId="1520" priority="1819" operator="beginsWith" text="Id">
      <formula>LEFT(G98,LEN("Id"))="Id"</formula>
    </cfRule>
    <cfRule type="beginsWith" dxfId="1519" priority="1821" operator="beginsWith" text="K">
      <formula>LEFT(G98,LEN("K"))="K"</formula>
    </cfRule>
    <cfRule type="beginsWith" dxfId="1518" priority="1823" operator="beginsWith" text="Is-ME">
      <formula>LEFT(G98,LEN("Is-ME"))="Is-ME"</formula>
    </cfRule>
    <cfRule type="beginsWith" dxfId="1517" priority="1825" operator="beginsWith" text="Is-Fe">
      <formula>LEFT(G98,LEN("Is-Fe"))="Is-Fe"</formula>
    </cfRule>
    <cfRule type="beginsWith" dxfId="1516" priority="1827" operator="beginsWith" text="Is">
      <formula>LEFT(G98,LEN("Is"))="Is"</formula>
    </cfRule>
    <cfRule type="beginsWith" dxfId="1515" priority="1829" operator="beginsWith" text="T">
      <formula>LEFT(G98,LEN("T"))="T"</formula>
    </cfRule>
    <cfRule type="beginsWith" dxfId="1514" priority="1831" operator="beginsWith" text="Mg">
      <formula>LEFT(G98,LEN("Mg"))="Mg"</formula>
    </cfRule>
    <cfRule type="beginsWith" dxfId="1513" priority="1833" operator="beginsWith" text="VM">
      <formula>LEFT(G98,LEN("VM"))="VM"</formula>
    </cfRule>
    <cfRule type="beginsWith" dxfId="1512" priority="1835" operator="beginsWith" text="ZW5">
      <formula>LEFT(G98,LEN("ZW5"))="ZW5"</formula>
    </cfRule>
    <cfRule type="beginsWith" dxfId="1511" priority="1837" operator="beginsWith" text="ZW3">
      <formula>LEFT(G98,LEN("ZW3"))="ZW3"</formula>
    </cfRule>
    <cfRule type="beginsWith" dxfId="1510" priority="1839" operator="beginsWith" text="ZW1">
      <formula>LEFT(G98,LEN("ZW1"))="ZW1"</formula>
    </cfRule>
    <cfRule type="beginsWith" dxfId="1509" priority="1841" operator="beginsWith" text="EW6">
      <formula>LEFT(G98,LEN("EW6"))="EW6"</formula>
    </cfRule>
    <cfRule type="beginsWith" dxfId="1508" priority="1843" operator="beginsWith" text="EW4">
      <formula>LEFT(G98,LEN("EW4"))="EW4"</formula>
    </cfRule>
    <cfRule type="beginsWith" dxfId="1507" priority="1845" operator="beginsWith" text="EW2">
      <formula>LEFT(G98,LEN("EW2"))="EW2"</formula>
    </cfRule>
    <cfRule type="beginsWith" dxfId="1506" priority="1847" operator="beginsWith" text="M-AS">
      <formula>LEFT(G98,LEN("M-AS"))="M-AS"</formula>
    </cfRule>
    <cfRule type="beginsWith" dxfId="1505" priority="1849" operator="beginsWith" text="TLP">
      <formula>LEFT(G98,LEN("TLP"))="TLP"</formula>
    </cfRule>
    <cfRule type="beginsWith" dxfId="1504" priority="1851" operator="beginsWith" text="US">
      <formula>LEFT(G98,LEN("US"))="US"</formula>
    </cfRule>
    <cfRule type="beginsWith" dxfId="1503" priority="1853" operator="beginsWith" text="AS">
      <formula>LEFT(G98,LEN("AS"))="AS"</formula>
    </cfRule>
    <cfRule type="beginsWith" dxfId="1502" priority="1855" operator="beginsWith" text="M-iW">
      <formula>LEFT(G98,LEN("M-iW"))="M-iW"</formula>
    </cfRule>
    <cfRule type="beginsWith" dxfId="1501" priority="1857" operator="beginsWith" text="MB">
      <formula>LEFT(G98,LEN("MB"))="MB"</formula>
    </cfRule>
  </conditionalFormatting>
  <conditionalFormatting sqref="G98:NJ98">
    <cfRule type="expression" dxfId="1500" priority="1782">
      <formula>$F98="--"</formula>
    </cfRule>
    <cfRule type="expression" dxfId="1499" priority="1784">
      <formula>G$3=$PP98</formula>
    </cfRule>
    <cfRule type="expression" dxfId="1498" priority="1786">
      <formula>G$3=$PN98</formula>
    </cfRule>
    <cfRule type="expression" dxfId="1497" priority="1788">
      <formula>G$3=$PL98</formula>
    </cfRule>
    <cfRule type="expression" dxfId="1496" priority="1790">
      <formula>IF(G98=0,IF(OR(G$4=6,G$4=7,G$5=1),1,0),0)</formula>
    </cfRule>
    <cfRule type="expression" dxfId="1495" priority="1792">
      <formula>IF($C98&gt;0,IF(G$4=1,1,0),0)</formula>
    </cfRule>
    <cfRule type="expression" dxfId="1494" priority="1794">
      <formula>IF(OR(G98="T1..",G98="T2..",G98="T3..",G98="T4..",G98="T5..",G98="T6..",G98="T7..",G98="T8..",G98="T9.."),1,0)</formula>
    </cfRule>
    <cfRule type="expression" dxfId="1493" priority="1796">
      <formula>IF(OR(G98="T1",G98="T2",G98="T3",G98="T4",G98="T5",G98="T6",G98="T7",G98="T8",G98="T9"),1,0)</formula>
    </cfRule>
    <cfRule type="endsWith" dxfId="1492" priority="1798" operator="endsWith" text="_x">
      <formula>RIGHT(G98,LEN("_x"))="_x"</formula>
    </cfRule>
    <cfRule type="beginsWith" dxfId="1491" priority="1800" operator="beginsWith" text="AS-TL">
      <formula>LEFT(G98,LEN("AS-TL"))="AS-TL"</formula>
    </cfRule>
    <cfRule type="beginsWith" dxfId="1490" priority="1802" operator="beginsWith" text="tbs">
      <formula>LEFT(G98,LEN("tbs"))="tbs"</formula>
    </cfRule>
    <cfRule type="beginsWith" dxfId="1489" priority="1804" operator="beginsWith" text="TL-AS">
      <formula>LEFT(G98,LEN("TL-AS"))="TL-AS"</formula>
    </cfRule>
    <cfRule type="beginsWith" dxfId="1488" priority="1806" operator="beginsWith" text="L">
      <formula>LEFT(G98,LEN("L"))="L"</formula>
    </cfRule>
    <cfRule type="beginsWith" dxfId="1487" priority="1808" operator="beginsWith" text="DC">
      <formula>LEFT(G98,LEN("DC"))="DC"</formula>
    </cfRule>
    <cfRule type="beginsWith" dxfId="1486" priority="1810" operator="beginsWith" text="FP">
      <formula>LEFT(G98,LEN("FP"))="FP"</formula>
    </cfRule>
    <cfRule type="beginsWith" dxfId="1485" priority="1812" operator="beginsWith" text="M-TT">
      <formula>LEFT(G98,LEN("M-TT"))="M-TT"</formula>
    </cfRule>
    <cfRule type="beginsWith" dxfId="1484" priority="1814" operator="beginsWith" text="Ü">
      <formula>LEFT(G98,LEN("Ü"))="Ü"</formula>
    </cfRule>
    <cfRule type="beginsWith" dxfId="1483" priority="1816" operator="beginsWith" text="iW">
      <formula>LEFT(G98,LEN("iW"))="iW"</formula>
    </cfRule>
    <cfRule type="beginsWith" dxfId="1482" priority="1818" operator="beginsWith" text="D">
      <formula>LEFT(G98,LEN("D"))="D"</formula>
    </cfRule>
    <cfRule type="beginsWith" dxfId="1481" priority="1820" operator="beginsWith" text="Kde">
      <formula>LEFT(G98,LEN("Kde"))="Kde"</formula>
    </cfRule>
    <cfRule type="beginsWith" dxfId="1480" priority="1822" operator="beginsWith" text="P">
      <formula>LEFT(G98,LEN("P"))="P"</formula>
    </cfRule>
    <cfRule type="beginsWith" dxfId="1479" priority="1824" operator="beginsWith" text="Is-M">
      <formula>LEFT(G98,LEN("Is-M"))="Is-M"</formula>
    </cfRule>
    <cfRule type="beginsWith" dxfId="1478" priority="1826" operator="beginsWith" text="Is-Id">
      <formula>LEFT(G98,LEN("Is-Id"))="Is-Id"</formula>
    </cfRule>
    <cfRule type="beginsWith" dxfId="1477" priority="1828" operator="beginsWith" text="M-Is">
      <formula>LEFT(G98,LEN("M-Is"))="M-Is"</formula>
    </cfRule>
    <cfRule type="beginsWith" dxfId="1476" priority="1830" operator="beginsWith" text="M-Fe">
      <formula>LEFT(G98,LEN("M-Fe"))="M-Fe"</formula>
    </cfRule>
    <cfRule type="beginsWith" dxfId="1475" priority="1832" operator="beginsWith" text="M-TP">
      <formula>LEFT(G98,LEN("M-TP"))="M-TP"</formula>
    </cfRule>
    <cfRule type="beginsWith" dxfId="1474" priority="1834" operator="beginsWith" text="ZW6">
      <formula>LEFT(G98,LEN("ZW6"))="ZW6"</formula>
    </cfRule>
    <cfRule type="beginsWith" dxfId="1473" priority="1836" operator="beginsWith" text="ZW4">
      <formula>LEFT(G98,LEN("ZW4"))="ZW4"</formula>
    </cfRule>
    <cfRule type="beginsWith" dxfId="1472" priority="1838" operator="beginsWith" text="ZW2">
      <formula>LEFT(G98,LEN("ZW2"))="ZW2"</formula>
    </cfRule>
    <cfRule type="beginsWith" dxfId="1471" priority="1840" operator="beginsWith" text="ZW0">
      <formula>LEFT(G98,LEN("ZW0"))="ZW0"</formula>
    </cfRule>
    <cfRule type="beginsWith" dxfId="1470" priority="1842" operator="beginsWith" text="EW5">
      <formula>LEFT(G98,LEN("EW5"))="EW5"</formula>
    </cfRule>
    <cfRule type="beginsWith" dxfId="1469" priority="1844" operator="beginsWith" text="EW3">
      <formula>LEFT(G98,LEN("EW3"))="EW3"</formula>
    </cfRule>
    <cfRule type="beginsWith" dxfId="1468" priority="1846" operator="beginsWith" text="EW1">
      <formula>LEFT(G98,LEN("EW1"))="EW1"</formula>
    </cfRule>
    <cfRule type="beginsWith" dxfId="1467" priority="1848" operator="beginsWith" text="TL-AS">
      <formula>LEFT(G98,LEN("TL-AS"))="TL-AS"</formula>
    </cfRule>
    <cfRule type="beginsWith" dxfId="1466" priority="1850" operator="beginsWith" text="TL">
      <formula>LEFT(G98,LEN("TL"))="TL"</formula>
    </cfRule>
    <cfRule type="beginsWith" dxfId="1465" priority="1852" operator="beginsWith" text="AF">
      <formula>LEFT(G98,LEN("AF"))="AF"</formula>
    </cfRule>
    <cfRule type="beginsWith" dxfId="1464" priority="1854" operator="beginsWith" text="M-DG">
      <formula>LEFT(G98,LEN("M-DG"))="M-DG"</formula>
    </cfRule>
    <cfRule type="beginsWith" dxfId="1463" priority="1856" operator="beginsWith" text="M-Kde">
      <formula>LEFT(G98,LEN("M-Kde"))="M-Kde"</formula>
    </cfRule>
  </conditionalFormatting>
  <conditionalFormatting sqref="G98:NJ98">
    <cfRule type="beginsWith" dxfId="1462" priority="1780" operator="beginsWith" text="M">
      <formula>LEFT(G98,LEN("M"))="M"</formula>
    </cfRule>
  </conditionalFormatting>
  <conditionalFormatting sqref="G98:NJ98">
    <cfRule type="beginsWith" dxfId="1461" priority="1779" operator="beginsWith" text="Is-MB">
      <formula>LEFT(G98,LEN("Is-MB"))="Is-MB"</formula>
    </cfRule>
  </conditionalFormatting>
  <conditionalFormatting sqref="G98:NJ98">
    <cfRule type="beginsWith" dxfId="1460" priority="1778" operator="beginsWith" text="Y">
      <formula>LEFT(G98,LEN("Y"))="Y"</formula>
    </cfRule>
  </conditionalFormatting>
  <conditionalFormatting sqref="G98:NJ98">
    <cfRule type="beginsWith" dxfId="1459" priority="1777" operator="beginsWith" text="M-FP">
      <formula>LEFT(G98,LEN("M-FP"))="M-FP"</formula>
    </cfRule>
  </conditionalFormatting>
  <conditionalFormatting sqref="G98:NJ98">
    <cfRule type="beginsWith" dxfId="1458" priority="1776" operator="beginsWith" text="ME">
      <formula>LEFT(G98,LEN("ME"))="ME"</formula>
    </cfRule>
  </conditionalFormatting>
  <conditionalFormatting sqref="G98:NJ98">
    <cfRule type="beginsWith" dxfId="1457" priority="1775" operator="beginsWith" text="ME-TL">
      <formula>LEFT(G98,LEN("ME-TL"))="ME-TL"</formula>
    </cfRule>
  </conditionalFormatting>
  <conditionalFormatting sqref="G98:NJ98">
    <cfRule type="beginsWith" dxfId="1456" priority="1774" operator="beginsWith" text="M-W">
      <formula>LEFT(G98,LEN("M-W"))="M-W"</formula>
    </cfRule>
  </conditionalFormatting>
  <conditionalFormatting sqref="A98:E98">
    <cfRule type="expression" dxfId="1455" priority="1858">
      <formula>IF(AND($A98=$A99,#REF!=#REF!,$B98=$B99),0,1)</formula>
    </cfRule>
  </conditionalFormatting>
  <conditionalFormatting sqref="A98:E98">
    <cfRule type="expression" dxfId="1454" priority="1859">
      <formula>$F98="--"</formula>
    </cfRule>
  </conditionalFormatting>
  <conditionalFormatting sqref="A98:E98">
    <cfRule type="expression" dxfId="1453" priority="1860">
      <formula>$F98="-"</formula>
    </cfRule>
  </conditionalFormatting>
  <conditionalFormatting sqref="G102:NJ102">
    <cfRule type="expression" dxfId="1452" priority="1694">
      <formula>$F102="-"</formula>
    </cfRule>
    <cfRule type="expression" dxfId="1451" priority="1696">
      <formula>G$3=$PQ102</formula>
    </cfRule>
    <cfRule type="expression" dxfId="1450" priority="1698">
      <formula>G$3=$PO102</formula>
    </cfRule>
    <cfRule type="expression" dxfId="1449" priority="1700">
      <formula>G$3=$PM102</formula>
    </cfRule>
    <cfRule type="expression" dxfId="1448" priority="1702">
      <formula>IF(AND(RIGHT(G102,1)=".",LEFT(G102,2)&lt;&gt;"T1",LEFT(G102,2)&lt;&gt;"T2",LEFT(G102,2)&lt;&gt;"T3",LEFT(G102,2)&lt;&gt;"T4",LEFT(G102,2)&lt;&gt;"T5",LEFT(G102,2)&lt;&gt;"T6",LEFT(G102,2)&lt;&gt;"T7",LEFT(G102,2)&lt;&gt;"T8",LEFT(G102,2)&lt;&gt;"T9"),1,0)</formula>
    </cfRule>
    <cfRule type="expression" dxfId="1447" priority="1704">
      <formula>IF($C102&gt;0,IF(G$4=7,1,0),0)</formula>
    </cfRule>
    <cfRule type="expression" dxfId="1446" priority="1706">
      <formula>$C102&gt;0</formula>
    </cfRule>
    <cfRule type="expression" dxfId="1445" priority="1708">
      <formula>IF(OR(G102="T1.",G102="T2.",G102="T3.",G102="T4.",G102="T5.",G102="T6.",G102="T7.",G102="T8.",G102="T9."),1,0)</formula>
    </cfRule>
    <cfRule type="endsWith" dxfId="1444" priority="1710" operator="endsWith" text="_A">
      <formula>RIGHT(G102,LEN("_A"))="_A"</formula>
    </cfRule>
    <cfRule type="endsWith" dxfId="1443" priority="1712" operator="endsWith" text="_e">
      <formula>RIGHT(G102,LEN("_e"))="_e"</formula>
    </cfRule>
    <cfRule type="beginsWith" dxfId="1442" priority="1714" operator="beginsWith" text="ME-TL-AS">
      <formula>LEFT(G102,LEN("ME-TL-AS"))="ME-TL-AS"</formula>
    </cfRule>
    <cfRule type="beginsWith" dxfId="1441" priority="1716" operator="beginsWith" text="T-AS">
      <formula>LEFT(G102,LEN("T-AS"))="T-AS"</formula>
    </cfRule>
    <cfRule type="beginsWith" dxfId="1440" priority="1718" operator="beginsWith" text="M-KL">
      <formula>LEFT(G102,LEN("M-KL"))="M-KL"</formula>
    </cfRule>
    <cfRule type="beginsWith" dxfId="1439" priority="1720" operator="beginsWith" text="Ss">
      <formula>LEFT(G102,LEN("Ss"))="Ss"</formula>
    </cfRule>
    <cfRule type="beginsWith" dxfId="1438" priority="1722" operator="beginsWith" text="AC">
      <formula>LEFT(G102,LEN("AC"))="AC"</formula>
    </cfRule>
    <cfRule type="beginsWith" dxfId="1437" priority="1724" operator="beginsWith" text="TT">
      <formula>LEFT(G102,LEN("TT"))="TT"</formula>
    </cfRule>
    <cfRule type="beginsWith" dxfId="1436" priority="1726" operator="beginsWith" text="S">
      <formula>LEFT(G102,LEN("S"))="S"</formula>
    </cfRule>
    <cfRule type="beginsWith" dxfId="1435" priority="1728" operator="beginsWith" text="PK">
      <formula>LEFT(G102,LEN("PK"))="PK"</formula>
    </cfRule>
    <cfRule type="beginsWith" dxfId="1434" priority="1730" operator="beginsWith" text="W">
      <formula>LEFT(G102,LEN("W"))="W"</formula>
    </cfRule>
    <cfRule type="beginsWith" dxfId="1433" priority="1732" operator="beginsWith" text="Id">
      <formula>LEFT(G102,LEN("Id"))="Id"</formula>
    </cfRule>
    <cfRule type="beginsWith" dxfId="1432" priority="1734" operator="beginsWith" text="K">
      <formula>LEFT(G102,LEN("K"))="K"</formula>
    </cfRule>
    <cfRule type="beginsWith" dxfId="1431" priority="1736" operator="beginsWith" text="Is-ME">
      <formula>LEFT(G102,LEN("Is-ME"))="Is-ME"</formula>
    </cfRule>
    <cfRule type="beginsWith" dxfId="1430" priority="1738" operator="beginsWith" text="Is-Fe">
      <formula>LEFT(G102,LEN("Is-Fe"))="Is-Fe"</formula>
    </cfRule>
    <cfRule type="beginsWith" dxfId="1429" priority="1740" operator="beginsWith" text="Is">
      <formula>LEFT(G102,LEN("Is"))="Is"</formula>
    </cfRule>
    <cfRule type="beginsWith" dxfId="1428" priority="1742" operator="beginsWith" text="T">
      <formula>LEFT(G102,LEN("T"))="T"</formula>
    </cfRule>
    <cfRule type="beginsWith" dxfId="1427" priority="1744" operator="beginsWith" text="Mg">
      <formula>LEFT(G102,LEN("Mg"))="Mg"</formula>
    </cfRule>
    <cfRule type="beginsWith" dxfId="1426" priority="1746" operator="beginsWith" text="VM">
      <formula>LEFT(G102,LEN("VM"))="VM"</formula>
    </cfRule>
    <cfRule type="beginsWith" dxfId="1425" priority="1748" operator="beginsWith" text="ZW5">
      <formula>LEFT(G102,LEN("ZW5"))="ZW5"</formula>
    </cfRule>
    <cfRule type="beginsWith" dxfId="1424" priority="1750" operator="beginsWith" text="ZW3">
      <formula>LEFT(G102,LEN("ZW3"))="ZW3"</formula>
    </cfRule>
    <cfRule type="beginsWith" dxfId="1423" priority="1752" operator="beginsWith" text="ZW1">
      <formula>LEFT(G102,LEN("ZW1"))="ZW1"</formula>
    </cfRule>
    <cfRule type="beginsWith" dxfId="1422" priority="1754" operator="beginsWith" text="EW6">
      <formula>LEFT(G102,LEN("EW6"))="EW6"</formula>
    </cfRule>
    <cfRule type="beginsWith" dxfId="1421" priority="1756" operator="beginsWith" text="EW4">
      <formula>LEFT(G102,LEN("EW4"))="EW4"</formula>
    </cfRule>
    <cfRule type="beginsWith" dxfId="1420" priority="1758" operator="beginsWith" text="EW2">
      <formula>LEFT(G102,LEN("EW2"))="EW2"</formula>
    </cfRule>
    <cfRule type="beginsWith" dxfId="1419" priority="1760" operator="beginsWith" text="M-AS">
      <formula>LEFT(G102,LEN("M-AS"))="M-AS"</formula>
    </cfRule>
    <cfRule type="beginsWith" dxfId="1418" priority="1762" operator="beginsWith" text="TLP">
      <formula>LEFT(G102,LEN("TLP"))="TLP"</formula>
    </cfRule>
    <cfRule type="beginsWith" dxfId="1417" priority="1764" operator="beginsWith" text="US">
      <formula>LEFT(G102,LEN("US"))="US"</formula>
    </cfRule>
    <cfRule type="beginsWith" dxfId="1416" priority="1766" operator="beginsWith" text="AS">
      <formula>LEFT(G102,LEN("AS"))="AS"</formula>
    </cfRule>
    <cfRule type="beginsWith" dxfId="1415" priority="1768" operator="beginsWith" text="M-iW">
      <formula>LEFT(G102,LEN("M-iW"))="M-iW"</formula>
    </cfRule>
    <cfRule type="beginsWith" dxfId="1414" priority="1770" operator="beginsWith" text="MB">
      <formula>LEFT(G102,LEN("MB"))="MB"</formula>
    </cfRule>
  </conditionalFormatting>
  <conditionalFormatting sqref="G102:NJ102">
    <cfRule type="expression" dxfId="1413" priority="1695">
      <formula>$F102="--"</formula>
    </cfRule>
    <cfRule type="expression" dxfId="1412" priority="1697">
      <formula>G$3=$PP102</formula>
    </cfRule>
    <cfRule type="expression" dxfId="1411" priority="1699">
      <formula>G$3=$PN102</formula>
    </cfRule>
    <cfRule type="expression" dxfId="1410" priority="1701">
      <formula>G$3=$PL102</formula>
    </cfRule>
    <cfRule type="expression" dxfId="1409" priority="1703">
      <formula>IF(G102=0,IF(OR(G$4=6,G$4=7,G$5=1),1,0),0)</formula>
    </cfRule>
    <cfRule type="expression" dxfId="1408" priority="1705">
      <formula>IF($C102&gt;0,IF(G$4=1,1,0),0)</formula>
    </cfRule>
    <cfRule type="expression" dxfId="1407" priority="1707">
      <formula>IF(OR(G102="T1..",G102="T2..",G102="T3..",G102="T4..",G102="T5..",G102="T6..",G102="T7..",G102="T8..",G102="T9.."),1,0)</formula>
    </cfRule>
    <cfRule type="expression" dxfId="1406" priority="1709">
      <formula>IF(OR(G102="T1",G102="T2",G102="T3",G102="T4",G102="T5",G102="T6",G102="T7",G102="T8",G102="T9"),1,0)</formula>
    </cfRule>
    <cfRule type="endsWith" dxfId="1405" priority="1711" operator="endsWith" text="_x">
      <formula>RIGHT(G102,LEN("_x"))="_x"</formula>
    </cfRule>
    <cfRule type="beginsWith" dxfId="1404" priority="1713" operator="beginsWith" text="AS-TL">
      <formula>LEFT(G102,LEN("AS-TL"))="AS-TL"</formula>
    </cfRule>
    <cfRule type="beginsWith" dxfId="1403" priority="1715" operator="beginsWith" text="tbs">
      <formula>LEFT(G102,LEN("tbs"))="tbs"</formula>
    </cfRule>
    <cfRule type="beginsWith" dxfId="1402" priority="1717" operator="beginsWith" text="TL-AS">
      <formula>LEFT(G102,LEN("TL-AS"))="TL-AS"</formula>
    </cfRule>
    <cfRule type="beginsWith" dxfId="1401" priority="1719" operator="beginsWith" text="L">
      <formula>LEFT(G102,LEN("L"))="L"</formula>
    </cfRule>
    <cfRule type="beginsWith" dxfId="1400" priority="1721" operator="beginsWith" text="DC">
      <formula>LEFT(G102,LEN("DC"))="DC"</formula>
    </cfRule>
    <cfRule type="beginsWith" dxfId="1399" priority="1723" operator="beginsWith" text="FP">
      <formula>LEFT(G102,LEN("FP"))="FP"</formula>
    </cfRule>
    <cfRule type="beginsWith" dxfId="1398" priority="1725" operator="beginsWith" text="M-TT">
      <formula>LEFT(G102,LEN("M-TT"))="M-TT"</formula>
    </cfRule>
    <cfRule type="beginsWith" dxfId="1397" priority="1727" operator="beginsWith" text="Ü">
      <formula>LEFT(G102,LEN("Ü"))="Ü"</formula>
    </cfRule>
    <cfRule type="beginsWith" dxfId="1396" priority="1729" operator="beginsWith" text="iW">
      <formula>LEFT(G102,LEN("iW"))="iW"</formula>
    </cfRule>
    <cfRule type="beginsWith" dxfId="1395" priority="1731" operator="beginsWith" text="D">
      <formula>LEFT(G102,LEN("D"))="D"</formula>
    </cfRule>
    <cfRule type="beginsWith" dxfId="1394" priority="1733" operator="beginsWith" text="Kde">
      <formula>LEFT(G102,LEN("Kde"))="Kde"</formula>
    </cfRule>
    <cfRule type="beginsWith" dxfId="1393" priority="1735" operator="beginsWith" text="P">
      <formula>LEFT(G102,LEN("P"))="P"</formula>
    </cfRule>
    <cfRule type="beginsWith" dxfId="1392" priority="1737" operator="beginsWith" text="Is-M">
      <formula>LEFT(G102,LEN("Is-M"))="Is-M"</formula>
    </cfRule>
    <cfRule type="beginsWith" dxfId="1391" priority="1739" operator="beginsWith" text="Is-Id">
      <formula>LEFT(G102,LEN("Is-Id"))="Is-Id"</formula>
    </cfRule>
    <cfRule type="beginsWith" dxfId="1390" priority="1741" operator="beginsWith" text="M-Is">
      <formula>LEFT(G102,LEN("M-Is"))="M-Is"</formula>
    </cfRule>
    <cfRule type="beginsWith" dxfId="1389" priority="1743" operator="beginsWith" text="M-Fe">
      <formula>LEFT(G102,LEN("M-Fe"))="M-Fe"</formula>
    </cfRule>
    <cfRule type="beginsWith" dxfId="1388" priority="1745" operator="beginsWith" text="M-TP">
      <formula>LEFT(G102,LEN("M-TP"))="M-TP"</formula>
    </cfRule>
    <cfRule type="beginsWith" dxfId="1387" priority="1747" operator="beginsWith" text="ZW6">
      <formula>LEFT(G102,LEN("ZW6"))="ZW6"</formula>
    </cfRule>
    <cfRule type="beginsWith" dxfId="1386" priority="1749" operator="beginsWith" text="ZW4">
      <formula>LEFT(G102,LEN("ZW4"))="ZW4"</formula>
    </cfRule>
    <cfRule type="beginsWith" dxfId="1385" priority="1751" operator="beginsWith" text="ZW2">
      <formula>LEFT(G102,LEN("ZW2"))="ZW2"</formula>
    </cfRule>
    <cfRule type="beginsWith" dxfId="1384" priority="1753" operator="beginsWith" text="ZW0">
      <formula>LEFT(G102,LEN("ZW0"))="ZW0"</formula>
    </cfRule>
    <cfRule type="beginsWith" dxfId="1383" priority="1755" operator="beginsWith" text="EW5">
      <formula>LEFT(G102,LEN("EW5"))="EW5"</formula>
    </cfRule>
    <cfRule type="beginsWith" dxfId="1382" priority="1757" operator="beginsWith" text="EW3">
      <formula>LEFT(G102,LEN("EW3"))="EW3"</formula>
    </cfRule>
    <cfRule type="beginsWith" dxfId="1381" priority="1759" operator="beginsWith" text="EW1">
      <formula>LEFT(G102,LEN("EW1"))="EW1"</formula>
    </cfRule>
    <cfRule type="beginsWith" dxfId="1380" priority="1761" operator="beginsWith" text="TL-AS">
      <formula>LEFT(G102,LEN("TL-AS"))="TL-AS"</formula>
    </cfRule>
    <cfRule type="beginsWith" dxfId="1379" priority="1763" operator="beginsWith" text="TL">
      <formula>LEFT(G102,LEN("TL"))="TL"</formula>
    </cfRule>
    <cfRule type="beginsWith" dxfId="1378" priority="1765" operator="beginsWith" text="AF">
      <formula>LEFT(G102,LEN("AF"))="AF"</formula>
    </cfRule>
    <cfRule type="beginsWith" dxfId="1377" priority="1767" operator="beginsWith" text="M-DG">
      <formula>LEFT(G102,LEN("M-DG"))="M-DG"</formula>
    </cfRule>
    <cfRule type="beginsWith" dxfId="1376" priority="1769" operator="beginsWith" text="M-Kde">
      <formula>LEFT(G102,LEN("M-Kde"))="M-Kde"</formula>
    </cfRule>
  </conditionalFormatting>
  <conditionalFormatting sqref="G102:NJ102">
    <cfRule type="beginsWith" dxfId="1375" priority="1693" operator="beginsWith" text="M">
      <formula>LEFT(G102,LEN("M"))="M"</formula>
    </cfRule>
  </conditionalFormatting>
  <conditionalFormatting sqref="G102:NJ102">
    <cfRule type="beginsWith" dxfId="1374" priority="1692" operator="beginsWith" text="Is-MB">
      <formula>LEFT(G102,LEN("Is-MB"))="Is-MB"</formula>
    </cfRule>
  </conditionalFormatting>
  <conditionalFormatting sqref="G102:NJ102">
    <cfRule type="beginsWith" dxfId="1373" priority="1691" operator="beginsWith" text="Y">
      <formula>LEFT(G102,LEN("Y"))="Y"</formula>
    </cfRule>
  </conditionalFormatting>
  <conditionalFormatting sqref="G102:NJ102">
    <cfRule type="beginsWith" dxfId="1372" priority="1690" operator="beginsWith" text="M-FP">
      <formula>LEFT(G102,LEN("M-FP"))="M-FP"</formula>
    </cfRule>
  </conditionalFormatting>
  <conditionalFormatting sqref="G102:NJ102">
    <cfRule type="beginsWith" dxfId="1371" priority="1689" operator="beginsWith" text="ME">
      <formula>LEFT(G102,LEN("ME"))="ME"</formula>
    </cfRule>
  </conditionalFormatting>
  <conditionalFormatting sqref="G102:NJ102">
    <cfRule type="beginsWith" dxfId="1370" priority="1688" operator="beginsWith" text="ME-TL">
      <formula>LEFT(G102,LEN("ME-TL"))="ME-TL"</formula>
    </cfRule>
  </conditionalFormatting>
  <conditionalFormatting sqref="G102:NJ102">
    <cfRule type="beginsWith" dxfId="1369" priority="1687" operator="beginsWith" text="M-W">
      <formula>LEFT(G102,LEN("M-W"))="M-W"</formula>
    </cfRule>
  </conditionalFormatting>
  <conditionalFormatting sqref="A102:E102">
    <cfRule type="expression" dxfId="1368" priority="1771">
      <formula>IF(AND($A102=$A103,#REF!=#REF!,$B102=$B103),0,1)</formula>
    </cfRule>
  </conditionalFormatting>
  <conditionalFormatting sqref="A102:E102">
    <cfRule type="expression" dxfId="1367" priority="1772">
      <formula>$F102="--"</formula>
    </cfRule>
  </conditionalFormatting>
  <conditionalFormatting sqref="A102:E102">
    <cfRule type="expression" dxfId="1366" priority="1773">
      <formula>$F102="-"</formula>
    </cfRule>
  </conditionalFormatting>
  <conditionalFormatting sqref="G106:NJ106">
    <cfRule type="expression" dxfId="1365" priority="1607">
      <formula>$F106="-"</formula>
    </cfRule>
    <cfRule type="expression" dxfId="1364" priority="1609">
      <formula>G$3=$PQ106</formula>
    </cfRule>
    <cfRule type="expression" dxfId="1363" priority="1611">
      <formula>G$3=$PO106</formula>
    </cfRule>
    <cfRule type="expression" dxfId="1362" priority="1613">
      <formula>G$3=$PM106</formula>
    </cfRule>
    <cfRule type="expression" dxfId="1361" priority="1615">
      <formula>IF(AND(RIGHT(G106,1)=".",LEFT(G106,2)&lt;&gt;"T1",LEFT(G106,2)&lt;&gt;"T2",LEFT(G106,2)&lt;&gt;"T3",LEFT(G106,2)&lt;&gt;"T4",LEFT(G106,2)&lt;&gt;"T5",LEFT(G106,2)&lt;&gt;"T6",LEFT(G106,2)&lt;&gt;"T7",LEFT(G106,2)&lt;&gt;"T8",LEFT(G106,2)&lt;&gt;"T9"),1,0)</formula>
    </cfRule>
    <cfRule type="expression" dxfId="1360" priority="1617">
      <formula>IF($C106&gt;0,IF(G$4=7,1,0),0)</formula>
    </cfRule>
    <cfRule type="expression" dxfId="1359" priority="1619">
      <formula>$C106&gt;0</formula>
    </cfRule>
    <cfRule type="expression" dxfId="1358" priority="1621">
      <formula>IF(OR(G106="T1.",G106="T2.",G106="T3.",G106="T4.",G106="T5.",G106="T6.",G106="T7.",G106="T8.",G106="T9."),1,0)</formula>
    </cfRule>
    <cfRule type="endsWith" dxfId="1357" priority="1623" operator="endsWith" text="_A">
      <formula>RIGHT(G106,LEN("_A"))="_A"</formula>
    </cfRule>
    <cfRule type="endsWith" dxfId="1356" priority="1625" operator="endsWith" text="_e">
      <formula>RIGHT(G106,LEN("_e"))="_e"</formula>
    </cfRule>
    <cfRule type="beginsWith" dxfId="1355" priority="1627" operator="beginsWith" text="ME-TL-AS">
      <formula>LEFT(G106,LEN("ME-TL-AS"))="ME-TL-AS"</formula>
    </cfRule>
    <cfRule type="beginsWith" dxfId="1354" priority="1629" operator="beginsWith" text="T-AS">
      <formula>LEFT(G106,LEN("T-AS"))="T-AS"</formula>
    </cfRule>
    <cfRule type="beginsWith" dxfId="1353" priority="1631" operator="beginsWith" text="M-KL">
      <formula>LEFT(G106,LEN("M-KL"))="M-KL"</formula>
    </cfRule>
    <cfRule type="beginsWith" dxfId="1352" priority="1633" operator="beginsWith" text="Ss">
      <formula>LEFT(G106,LEN("Ss"))="Ss"</formula>
    </cfRule>
    <cfRule type="beginsWith" dxfId="1351" priority="1635" operator="beginsWith" text="AC">
      <formula>LEFT(G106,LEN("AC"))="AC"</formula>
    </cfRule>
    <cfRule type="beginsWith" dxfId="1350" priority="1637" operator="beginsWith" text="TT">
      <formula>LEFT(G106,LEN("TT"))="TT"</formula>
    </cfRule>
    <cfRule type="beginsWith" dxfId="1349" priority="1639" operator="beginsWith" text="S">
      <formula>LEFT(G106,LEN("S"))="S"</formula>
    </cfRule>
    <cfRule type="beginsWith" dxfId="1348" priority="1641" operator="beginsWith" text="PK">
      <formula>LEFT(G106,LEN("PK"))="PK"</formula>
    </cfRule>
    <cfRule type="beginsWith" dxfId="1347" priority="1643" operator="beginsWith" text="W">
      <formula>LEFT(G106,LEN("W"))="W"</formula>
    </cfRule>
    <cfRule type="beginsWith" dxfId="1346" priority="1645" operator="beginsWith" text="Id">
      <formula>LEFT(G106,LEN("Id"))="Id"</formula>
    </cfRule>
    <cfRule type="beginsWith" dxfId="1345" priority="1647" operator="beginsWith" text="K">
      <formula>LEFT(G106,LEN("K"))="K"</formula>
    </cfRule>
    <cfRule type="beginsWith" dxfId="1344" priority="1649" operator="beginsWith" text="Is-ME">
      <formula>LEFT(G106,LEN("Is-ME"))="Is-ME"</formula>
    </cfRule>
    <cfRule type="beginsWith" dxfId="1343" priority="1651" operator="beginsWith" text="Is-Fe">
      <formula>LEFT(G106,LEN("Is-Fe"))="Is-Fe"</formula>
    </cfRule>
    <cfRule type="beginsWith" dxfId="1342" priority="1653" operator="beginsWith" text="Is">
      <formula>LEFT(G106,LEN("Is"))="Is"</formula>
    </cfRule>
    <cfRule type="beginsWith" dxfId="1341" priority="1655" operator="beginsWith" text="T">
      <formula>LEFT(G106,LEN("T"))="T"</formula>
    </cfRule>
    <cfRule type="beginsWith" dxfId="1340" priority="1657" operator="beginsWith" text="Mg">
      <formula>LEFT(G106,LEN("Mg"))="Mg"</formula>
    </cfRule>
    <cfRule type="beginsWith" dxfId="1339" priority="1659" operator="beginsWith" text="VM">
      <formula>LEFT(G106,LEN("VM"))="VM"</formula>
    </cfRule>
    <cfRule type="beginsWith" dxfId="1338" priority="1661" operator="beginsWith" text="ZW5">
      <formula>LEFT(G106,LEN("ZW5"))="ZW5"</formula>
    </cfRule>
    <cfRule type="beginsWith" dxfId="1337" priority="1663" operator="beginsWith" text="ZW3">
      <formula>LEFT(G106,LEN("ZW3"))="ZW3"</formula>
    </cfRule>
    <cfRule type="beginsWith" dxfId="1336" priority="1665" operator="beginsWith" text="ZW1">
      <formula>LEFT(G106,LEN("ZW1"))="ZW1"</formula>
    </cfRule>
    <cfRule type="beginsWith" dxfId="1335" priority="1667" operator="beginsWith" text="EW6">
      <formula>LEFT(G106,LEN("EW6"))="EW6"</formula>
    </cfRule>
    <cfRule type="beginsWith" dxfId="1334" priority="1669" operator="beginsWith" text="EW4">
      <formula>LEFT(G106,LEN("EW4"))="EW4"</formula>
    </cfRule>
    <cfRule type="beginsWith" dxfId="1333" priority="1671" operator="beginsWith" text="EW2">
      <formula>LEFT(G106,LEN("EW2"))="EW2"</formula>
    </cfRule>
    <cfRule type="beginsWith" dxfId="1332" priority="1673" operator="beginsWith" text="M-AS">
      <formula>LEFT(G106,LEN("M-AS"))="M-AS"</formula>
    </cfRule>
    <cfRule type="beginsWith" dxfId="1331" priority="1675" operator="beginsWith" text="TLP">
      <formula>LEFT(G106,LEN("TLP"))="TLP"</formula>
    </cfRule>
    <cfRule type="beginsWith" dxfId="1330" priority="1677" operator="beginsWith" text="US">
      <formula>LEFT(G106,LEN("US"))="US"</formula>
    </cfRule>
    <cfRule type="beginsWith" dxfId="1329" priority="1679" operator="beginsWith" text="AS">
      <formula>LEFT(G106,LEN("AS"))="AS"</formula>
    </cfRule>
    <cfRule type="beginsWith" dxfId="1328" priority="1681" operator="beginsWith" text="M-iW">
      <formula>LEFT(G106,LEN("M-iW"))="M-iW"</formula>
    </cfRule>
    <cfRule type="beginsWith" dxfId="1327" priority="1683" operator="beginsWith" text="MB">
      <formula>LEFT(G106,LEN("MB"))="MB"</formula>
    </cfRule>
  </conditionalFormatting>
  <conditionalFormatting sqref="G106:NJ106">
    <cfRule type="expression" dxfId="1326" priority="1608">
      <formula>$F106="--"</formula>
    </cfRule>
    <cfRule type="expression" dxfId="1325" priority="1610">
      <formula>G$3=$PP106</formula>
    </cfRule>
    <cfRule type="expression" dxfId="1324" priority="1612">
      <formula>G$3=$PN106</formula>
    </cfRule>
    <cfRule type="expression" dxfId="1323" priority="1614">
      <formula>G$3=$PL106</formula>
    </cfRule>
    <cfRule type="expression" dxfId="1322" priority="1616">
      <formula>IF(G106=0,IF(OR(G$4=6,G$4=7,G$5=1),1,0),0)</formula>
    </cfRule>
    <cfRule type="expression" dxfId="1321" priority="1618">
      <formula>IF($C106&gt;0,IF(G$4=1,1,0),0)</formula>
    </cfRule>
    <cfRule type="expression" dxfId="1320" priority="1620">
      <formula>IF(OR(G106="T1..",G106="T2..",G106="T3..",G106="T4..",G106="T5..",G106="T6..",G106="T7..",G106="T8..",G106="T9.."),1,0)</formula>
    </cfRule>
    <cfRule type="expression" dxfId="1319" priority="1622">
      <formula>IF(OR(G106="T1",G106="T2",G106="T3",G106="T4",G106="T5",G106="T6",G106="T7",G106="T8",G106="T9"),1,0)</formula>
    </cfRule>
    <cfRule type="endsWith" dxfId="1318" priority="1624" operator="endsWith" text="_x">
      <formula>RIGHT(G106,LEN("_x"))="_x"</formula>
    </cfRule>
    <cfRule type="beginsWith" dxfId="1317" priority="1626" operator="beginsWith" text="AS-TL">
      <formula>LEFT(G106,LEN("AS-TL"))="AS-TL"</formula>
    </cfRule>
    <cfRule type="beginsWith" dxfId="1316" priority="1628" operator="beginsWith" text="tbs">
      <formula>LEFT(G106,LEN("tbs"))="tbs"</formula>
    </cfRule>
    <cfRule type="beginsWith" dxfId="1315" priority="1630" operator="beginsWith" text="TL-AS">
      <formula>LEFT(G106,LEN("TL-AS"))="TL-AS"</formula>
    </cfRule>
    <cfRule type="beginsWith" dxfId="1314" priority="1632" operator="beginsWith" text="L">
      <formula>LEFT(G106,LEN("L"))="L"</formula>
    </cfRule>
    <cfRule type="beginsWith" dxfId="1313" priority="1634" operator="beginsWith" text="DC">
      <formula>LEFT(G106,LEN("DC"))="DC"</formula>
    </cfRule>
    <cfRule type="beginsWith" dxfId="1312" priority="1636" operator="beginsWith" text="FP">
      <formula>LEFT(G106,LEN("FP"))="FP"</formula>
    </cfRule>
    <cfRule type="beginsWith" dxfId="1311" priority="1638" operator="beginsWith" text="M-TT">
      <formula>LEFT(G106,LEN("M-TT"))="M-TT"</formula>
    </cfRule>
    <cfRule type="beginsWith" dxfId="1310" priority="1640" operator="beginsWith" text="Ü">
      <formula>LEFT(G106,LEN("Ü"))="Ü"</formula>
    </cfRule>
    <cfRule type="beginsWith" dxfId="1309" priority="1642" operator="beginsWith" text="iW">
      <formula>LEFT(G106,LEN("iW"))="iW"</formula>
    </cfRule>
    <cfRule type="beginsWith" dxfId="1308" priority="1644" operator="beginsWith" text="D">
      <formula>LEFT(G106,LEN("D"))="D"</formula>
    </cfRule>
    <cfRule type="beginsWith" dxfId="1307" priority="1646" operator="beginsWith" text="Kde">
      <formula>LEFT(G106,LEN("Kde"))="Kde"</formula>
    </cfRule>
    <cfRule type="beginsWith" dxfId="1306" priority="1648" operator="beginsWith" text="P">
      <formula>LEFT(G106,LEN("P"))="P"</formula>
    </cfRule>
    <cfRule type="beginsWith" dxfId="1305" priority="1650" operator="beginsWith" text="Is-M">
      <formula>LEFT(G106,LEN("Is-M"))="Is-M"</formula>
    </cfRule>
    <cfRule type="beginsWith" dxfId="1304" priority="1652" operator="beginsWith" text="Is-Id">
      <formula>LEFT(G106,LEN("Is-Id"))="Is-Id"</formula>
    </cfRule>
    <cfRule type="beginsWith" dxfId="1303" priority="1654" operator="beginsWith" text="M-Is">
      <formula>LEFT(G106,LEN("M-Is"))="M-Is"</formula>
    </cfRule>
    <cfRule type="beginsWith" dxfId="1302" priority="1656" operator="beginsWith" text="M-Fe">
      <formula>LEFT(G106,LEN("M-Fe"))="M-Fe"</formula>
    </cfRule>
    <cfRule type="beginsWith" dxfId="1301" priority="1658" operator="beginsWith" text="M-TP">
      <formula>LEFT(G106,LEN("M-TP"))="M-TP"</formula>
    </cfRule>
    <cfRule type="beginsWith" dxfId="1300" priority="1660" operator="beginsWith" text="ZW6">
      <formula>LEFT(G106,LEN("ZW6"))="ZW6"</formula>
    </cfRule>
    <cfRule type="beginsWith" dxfId="1299" priority="1662" operator="beginsWith" text="ZW4">
      <formula>LEFT(G106,LEN("ZW4"))="ZW4"</formula>
    </cfRule>
    <cfRule type="beginsWith" dxfId="1298" priority="1664" operator="beginsWith" text="ZW2">
      <formula>LEFT(G106,LEN("ZW2"))="ZW2"</formula>
    </cfRule>
    <cfRule type="beginsWith" dxfId="1297" priority="1666" operator="beginsWith" text="ZW0">
      <formula>LEFT(G106,LEN("ZW0"))="ZW0"</formula>
    </cfRule>
    <cfRule type="beginsWith" dxfId="1296" priority="1668" operator="beginsWith" text="EW5">
      <formula>LEFT(G106,LEN("EW5"))="EW5"</formula>
    </cfRule>
    <cfRule type="beginsWith" dxfId="1295" priority="1670" operator="beginsWith" text="EW3">
      <formula>LEFT(G106,LEN("EW3"))="EW3"</formula>
    </cfRule>
    <cfRule type="beginsWith" dxfId="1294" priority="1672" operator="beginsWith" text="EW1">
      <formula>LEFT(G106,LEN("EW1"))="EW1"</formula>
    </cfRule>
    <cfRule type="beginsWith" dxfId="1293" priority="1674" operator="beginsWith" text="TL-AS">
      <formula>LEFT(G106,LEN("TL-AS"))="TL-AS"</formula>
    </cfRule>
    <cfRule type="beginsWith" dxfId="1292" priority="1676" operator="beginsWith" text="TL">
      <formula>LEFT(G106,LEN("TL"))="TL"</formula>
    </cfRule>
    <cfRule type="beginsWith" dxfId="1291" priority="1678" operator="beginsWith" text="AF">
      <formula>LEFT(G106,LEN("AF"))="AF"</formula>
    </cfRule>
    <cfRule type="beginsWith" dxfId="1290" priority="1680" operator="beginsWith" text="M-DG">
      <formula>LEFT(G106,LEN("M-DG"))="M-DG"</formula>
    </cfRule>
    <cfRule type="beginsWith" dxfId="1289" priority="1682" operator="beginsWith" text="M-Kde">
      <formula>LEFT(G106,LEN("M-Kde"))="M-Kde"</formula>
    </cfRule>
  </conditionalFormatting>
  <conditionalFormatting sqref="G106:NJ106">
    <cfRule type="beginsWith" dxfId="1288" priority="1606" operator="beginsWith" text="M">
      <formula>LEFT(G106,LEN("M"))="M"</formula>
    </cfRule>
  </conditionalFormatting>
  <conditionalFormatting sqref="G106:NJ106">
    <cfRule type="beginsWith" dxfId="1287" priority="1605" operator="beginsWith" text="Is-MB">
      <formula>LEFT(G106,LEN("Is-MB"))="Is-MB"</formula>
    </cfRule>
  </conditionalFormatting>
  <conditionalFormatting sqref="G106:NJ106">
    <cfRule type="beginsWith" dxfId="1286" priority="1604" operator="beginsWith" text="Y">
      <formula>LEFT(G106,LEN("Y"))="Y"</formula>
    </cfRule>
  </conditionalFormatting>
  <conditionalFormatting sqref="G106:NJ106">
    <cfRule type="beginsWith" dxfId="1285" priority="1603" operator="beginsWith" text="M-FP">
      <formula>LEFT(G106,LEN("M-FP"))="M-FP"</formula>
    </cfRule>
  </conditionalFormatting>
  <conditionalFormatting sqref="G106:NJ106">
    <cfRule type="beginsWith" dxfId="1284" priority="1602" operator="beginsWith" text="ME">
      <formula>LEFT(G106,LEN("ME"))="ME"</formula>
    </cfRule>
  </conditionalFormatting>
  <conditionalFormatting sqref="G106:NJ106">
    <cfRule type="beginsWith" dxfId="1283" priority="1601" operator="beginsWith" text="ME-TL">
      <formula>LEFT(G106,LEN("ME-TL"))="ME-TL"</formula>
    </cfRule>
  </conditionalFormatting>
  <conditionalFormatting sqref="G106:NJ106">
    <cfRule type="beginsWith" dxfId="1282" priority="1600" operator="beginsWith" text="M-W">
      <formula>LEFT(G106,LEN("M-W"))="M-W"</formula>
    </cfRule>
  </conditionalFormatting>
  <conditionalFormatting sqref="A106:E106">
    <cfRule type="expression" dxfId="1281" priority="1684">
      <formula>IF(AND($A106=$A107,#REF!=#REF!,$B106=$B107),0,1)</formula>
    </cfRule>
  </conditionalFormatting>
  <conditionalFormatting sqref="A106:E106">
    <cfRule type="expression" dxfId="1280" priority="1685">
      <formula>$F106="--"</formula>
    </cfRule>
  </conditionalFormatting>
  <conditionalFormatting sqref="A106:E106">
    <cfRule type="expression" dxfId="1279" priority="1686">
      <formula>$F106="-"</formula>
    </cfRule>
  </conditionalFormatting>
  <conditionalFormatting sqref="G110:NJ110">
    <cfRule type="expression" dxfId="1278" priority="1520">
      <formula>$F110="-"</formula>
    </cfRule>
    <cfRule type="expression" dxfId="1277" priority="1522">
      <formula>G$3=$PQ110</formula>
    </cfRule>
    <cfRule type="expression" dxfId="1276" priority="1524">
      <formula>G$3=$PO110</formula>
    </cfRule>
    <cfRule type="expression" dxfId="1275" priority="1526">
      <formula>G$3=$PM110</formula>
    </cfRule>
    <cfRule type="expression" dxfId="1274" priority="1528">
      <formula>IF(AND(RIGHT(G110,1)=".",LEFT(G110,2)&lt;&gt;"T1",LEFT(G110,2)&lt;&gt;"T2",LEFT(G110,2)&lt;&gt;"T3",LEFT(G110,2)&lt;&gt;"T4",LEFT(G110,2)&lt;&gt;"T5",LEFT(G110,2)&lt;&gt;"T6",LEFT(G110,2)&lt;&gt;"T7",LEFT(G110,2)&lt;&gt;"T8",LEFT(G110,2)&lt;&gt;"T9"),1,0)</formula>
    </cfRule>
    <cfRule type="expression" dxfId="1273" priority="1530">
      <formula>IF($C110&gt;0,IF(G$4=7,1,0),0)</formula>
    </cfRule>
    <cfRule type="expression" dxfId="1272" priority="1532">
      <formula>$C110&gt;0</formula>
    </cfRule>
    <cfRule type="expression" dxfId="1271" priority="1534">
      <formula>IF(OR(G110="T1.",G110="T2.",G110="T3.",G110="T4.",G110="T5.",G110="T6.",G110="T7.",G110="T8.",G110="T9."),1,0)</formula>
    </cfRule>
    <cfRule type="endsWith" dxfId="1270" priority="1536" operator="endsWith" text="_A">
      <formula>RIGHT(G110,LEN("_A"))="_A"</formula>
    </cfRule>
    <cfRule type="endsWith" dxfId="1269" priority="1538" operator="endsWith" text="_e">
      <formula>RIGHT(G110,LEN("_e"))="_e"</formula>
    </cfRule>
    <cfRule type="beginsWith" dxfId="1268" priority="1540" operator="beginsWith" text="ME-TL-AS">
      <formula>LEFT(G110,LEN("ME-TL-AS"))="ME-TL-AS"</formula>
    </cfRule>
    <cfRule type="beginsWith" dxfId="1267" priority="1542" operator="beginsWith" text="T-AS">
      <formula>LEFT(G110,LEN("T-AS"))="T-AS"</formula>
    </cfRule>
    <cfRule type="beginsWith" dxfId="1266" priority="1544" operator="beginsWith" text="M-KL">
      <formula>LEFT(G110,LEN("M-KL"))="M-KL"</formula>
    </cfRule>
    <cfRule type="beginsWith" dxfId="1265" priority="1546" operator="beginsWith" text="Ss">
      <formula>LEFT(G110,LEN("Ss"))="Ss"</formula>
    </cfRule>
    <cfRule type="beginsWith" dxfId="1264" priority="1548" operator="beginsWith" text="AC">
      <formula>LEFT(G110,LEN("AC"))="AC"</formula>
    </cfRule>
    <cfRule type="beginsWith" dxfId="1263" priority="1550" operator="beginsWith" text="TT">
      <formula>LEFT(G110,LEN("TT"))="TT"</formula>
    </cfRule>
    <cfRule type="beginsWith" dxfId="1262" priority="1552" operator="beginsWith" text="S">
      <formula>LEFT(G110,LEN("S"))="S"</formula>
    </cfRule>
    <cfRule type="beginsWith" dxfId="1261" priority="1554" operator="beginsWith" text="PK">
      <formula>LEFT(G110,LEN("PK"))="PK"</formula>
    </cfRule>
    <cfRule type="beginsWith" dxfId="1260" priority="1556" operator="beginsWith" text="W">
      <formula>LEFT(G110,LEN("W"))="W"</formula>
    </cfRule>
    <cfRule type="beginsWith" dxfId="1259" priority="1558" operator="beginsWith" text="Id">
      <formula>LEFT(G110,LEN("Id"))="Id"</formula>
    </cfRule>
    <cfRule type="beginsWith" dxfId="1258" priority="1560" operator="beginsWith" text="K">
      <formula>LEFT(G110,LEN("K"))="K"</formula>
    </cfRule>
    <cfRule type="beginsWith" dxfId="1257" priority="1562" operator="beginsWith" text="Is-ME">
      <formula>LEFT(G110,LEN("Is-ME"))="Is-ME"</formula>
    </cfRule>
    <cfRule type="beginsWith" dxfId="1256" priority="1564" operator="beginsWith" text="Is-Fe">
      <formula>LEFT(G110,LEN("Is-Fe"))="Is-Fe"</formula>
    </cfRule>
    <cfRule type="beginsWith" dxfId="1255" priority="1566" operator="beginsWith" text="Is">
      <formula>LEFT(G110,LEN("Is"))="Is"</formula>
    </cfRule>
    <cfRule type="beginsWith" dxfId="1254" priority="1568" operator="beginsWith" text="T">
      <formula>LEFT(G110,LEN("T"))="T"</formula>
    </cfRule>
    <cfRule type="beginsWith" dxfId="1253" priority="1570" operator="beginsWith" text="Mg">
      <formula>LEFT(G110,LEN("Mg"))="Mg"</formula>
    </cfRule>
    <cfRule type="beginsWith" dxfId="1252" priority="1572" operator="beginsWith" text="VM">
      <formula>LEFT(G110,LEN("VM"))="VM"</formula>
    </cfRule>
    <cfRule type="beginsWith" dxfId="1251" priority="1574" operator="beginsWith" text="ZW5">
      <formula>LEFT(G110,LEN("ZW5"))="ZW5"</formula>
    </cfRule>
    <cfRule type="beginsWith" dxfId="1250" priority="1576" operator="beginsWith" text="ZW3">
      <formula>LEFT(G110,LEN("ZW3"))="ZW3"</formula>
    </cfRule>
    <cfRule type="beginsWith" dxfId="1249" priority="1578" operator="beginsWith" text="ZW1">
      <formula>LEFT(G110,LEN("ZW1"))="ZW1"</formula>
    </cfRule>
    <cfRule type="beginsWith" dxfId="1248" priority="1580" operator="beginsWith" text="EW6">
      <formula>LEFT(G110,LEN("EW6"))="EW6"</formula>
    </cfRule>
    <cfRule type="beginsWith" dxfId="1247" priority="1582" operator="beginsWith" text="EW4">
      <formula>LEFT(G110,LEN("EW4"))="EW4"</formula>
    </cfRule>
    <cfRule type="beginsWith" dxfId="1246" priority="1584" operator="beginsWith" text="EW2">
      <formula>LEFT(G110,LEN("EW2"))="EW2"</formula>
    </cfRule>
    <cfRule type="beginsWith" dxfId="1245" priority="1586" operator="beginsWith" text="M-AS">
      <formula>LEFT(G110,LEN("M-AS"))="M-AS"</formula>
    </cfRule>
    <cfRule type="beginsWith" dxfId="1244" priority="1588" operator="beginsWith" text="TLP">
      <formula>LEFT(G110,LEN("TLP"))="TLP"</formula>
    </cfRule>
    <cfRule type="beginsWith" dxfId="1243" priority="1590" operator="beginsWith" text="US">
      <formula>LEFT(G110,LEN("US"))="US"</formula>
    </cfRule>
    <cfRule type="beginsWith" dxfId="1242" priority="1592" operator="beginsWith" text="AS">
      <formula>LEFT(G110,LEN("AS"))="AS"</formula>
    </cfRule>
    <cfRule type="beginsWith" dxfId="1241" priority="1594" operator="beginsWith" text="M-iW">
      <formula>LEFT(G110,LEN("M-iW"))="M-iW"</formula>
    </cfRule>
    <cfRule type="beginsWith" dxfId="1240" priority="1596" operator="beginsWith" text="MB">
      <formula>LEFT(G110,LEN("MB"))="MB"</formula>
    </cfRule>
  </conditionalFormatting>
  <conditionalFormatting sqref="G110:NJ110">
    <cfRule type="expression" dxfId="1239" priority="1521">
      <formula>$F110="--"</formula>
    </cfRule>
    <cfRule type="expression" dxfId="1238" priority="1523">
      <formula>G$3=$PP110</formula>
    </cfRule>
    <cfRule type="expression" dxfId="1237" priority="1525">
      <formula>G$3=$PN110</formula>
    </cfRule>
    <cfRule type="expression" dxfId="1236" priority="1527">
      <formula>G$3=$PL110</formula>
    </cfRule>
    <cfRule type="expression" dxfId="1235" priority="1529">
      <formula>IF(G110=0,IF(OR(G$4=6,G$4=7,G$5=1),1,0),0)</formula>
    </cfRule>
    <cfRule type="expression" dxfId="1234" priority="1531">
      <formula>IF($C110&gt;0,IF(G$4=1,1,0),0)</formula>
    </cfRule>
    <cfRule type="expression" dxfId="1233" priority="1533">
      <formula>IF(OR(G110="T1..",G110="T2..",G110="T3..",G110="T4..",G110="T5..",G110="T6..",G110="T7..",G110="T8..",G110="T9.."),1,0)</formula>
    </cfRule>
    <cfRule type="expression" dxfId="1232" priority="1535">
      <formula>IF(OR(G110="T1",G110="T2",G110="T3",G110="T4",G110="T5",G110="T6",G110="T7",G110="T8",G110="T9"),1,0)</formula>
    </cfRule>
    <cfRule type="endsWith" dxfId="1231" priority="1537" operator="endsWith" text="_x">
      <formula>RIGHT(G110,LEN("_x"))="_x"</formula>
    </cfRule>
    <cfRule type="beginsWith" dxfId="1230" priority="1539" operator="beginsWith" text="AS-TL">
      <formula>LEFT(G110,LEN("AS-TL"))="AS-TL"</formula>
    </cfRule>
    <cfRule type="beginsWith" dxfId="1229" priority="1541" operator="beginsWith" text="tbs">
      <formula>LEFT(G110,LEN("tbs"))="tbs"</formula>
    </cfRule>
    <cfRule type="beginsWith" dxfId="1228" priority="1543" operator="beginsWith" text="TL-AS">
      <formula>LEFT(G110,LEN("TL-AS"))="TL-AS"</formula>
    </cfRule>
    <cfRule type="beginsWith" dxfId="1227" priority="1545" operator="beginsWith" text="L">
      <formula>LEFT(G110,LEN("L"))="L"</formula>
    </cfRule>
    <cfRule type="beginsWith" dxfId="1226" priority="1547" operator="beginsWith" text="DC">
      <formula>LEFT(G110,LEN("DC"))="DC"</formula>
    </cfRule>
    <cfRule type="beginsWith" dxfId="1225" priority="1549" operator="beginsWith" text="FP">
      <formula>LEFT(G110,LEN("FP"))="FP"</formula>
    </cfRule>
    <cfRule type="beginsWith" dxfId="1224" priority="1551" operator="beginsWith" text="M-TT">
      <formula>LEFT(G110,LEN("M-TT"))="M-TT"</formula>
    </cfRule>
    <cfRule type="beginsWith" dxfId="1223" priority="1553" operator="beginsWith" text="Ü">
      <formula>LEFT(G110,LEN("Ü"))="Ü"</formula>
    </cfRule>
    <cfRule type="beginsWith" dxfId="1222" priority="1555" operator="beginsWith" text="iW">
      <formula>LEFT(G110,LEN("iW"))="iW"</formula>
    </cfRule>
    <cfRule type="beginsWith" dxfId="1221" priority="1557" operator="beginsWith" text="D">
      <formula>LEFT(G110,LEN("D"))="D"</formula>
    </cfRule>
    <cfRule type="beginsWith" dxfId="1220" priority="1559" operator="beginsWith" text="Kde">
      <formula>LEFT(G110,LEN("Kde"))="Kde"</formula>
    </cfRule>
    <cfRule type="beginsWith" dxfId="1219" priority="1561" operator="beginsWith" text="P">
      <formula>LEFT(G110,LEN("P"))="P"</formula>
    </cfRule>
    <cfRule type="beginsWith" dxfId="1218" priority="1563" operator="beginsWith" text="Is-M">
      <formula>LEFT(G110,LEN("Is-M"))="Is-M"</formula>
    </cfRule>
    <cfRule type="beginsWith" dxfId="1217" priority="1565" operator="beginsWith" text="Is-Id">
      <formula>LEFT(G110,LEN("Is-Id"))="Is-Id"</formula>
    </cfRule>
    <cfRule type="beginsWith" dxfId="1216" priority="1567" operator="beginsWith" text="M-Is">
      <formula>LEFT(G110,LEN("M-Is"))="M-Is"</formula>
    </cfRule>
    <cfRule type="beginsWith" dxfId="1215" priority="1569" operator="beginsWith" text="M-Fe">
      <formula>LEFT(G110,LEN("M-Fe"))="M-Fe"</formula>
    </cfRule>
    <cfRule type="beginsWith" dxfId="1214" priority="1571" operator="beginsWith" text="M-TP">
      <formula>LEFT(G110,LEN("M-TP"))="M-TP"</formula>
    </cfRule>
    <cfRule type="beginsWith" dxfId="1213" priority="1573" operator="beginsWith" text="ZW6">
      <formula>LEFT(G110,LEN("ZW6"))="ZW6"</formula>
    </cfRule>
    <cfRule type="beginsWith" dxfId="1212" priority="1575" operator="beginsWith" text="ZW4">
      <formula>LEFT(G110,LEN("ZW4"))="ZW4"</formula>
    </cfRule>
    <cfRule type="beginsWith" dxfId="1211" priority="1577" operator="beginsWith" text="ZW2">
      <formula>LEFT(G110,LEN("ZW2"))="ZW2"</formula>
    </cfRule>
    <cfRule type="beginsWith" dxfId="1210" priority="1579" operator="beginsWith" text="ZW0">
      <formula>LEFT(G110,LEN("ZW0"))="ZW0"</formula>
    </cfRule>
    <cfRule type="beginsWith" dxfId="1209" priority="1581" operator="beginsWith" text="EW5">
      <formula>LEFT(G110,LEN("EW5"))="EW5"</formula>
    </cfRule>
    <cfRule type="beginsWith" dxfId="1208" priority="1583" operator="beginsWith" text="EW3">
      <formula>LEFT(G110,LEN("EW3"))="EW3"</formula>
    </cfRule>
    <cfRule type="beginsWith" dxfId="1207" priority="1585" operator="beginsWith" text="EW1">
      <formula>LEFT(G110,LEN("EW1"))="EW1"</formula>
    </cfRule>
    <cfRule type="beginsWith" dxfId="1206" priority="1587" operator="beginsWith" text="TL-AS">
      <formula>LEFT(G110,LEN("TL-AS"))="TL-AS"</formula>
    </cfRule>
    <cfRule type="beginsWith" dxfId="1205" priority="1589" operator="beginsWith" text="TL">
      <formula>LEFT(G110,LEN("TL"))="TL"</formula>
    </cfRule>
    <cfRule type="beginsWith" dxfId="1204" priority="1591" operator="beginsWith" text="AF">
      <formula>LEFT(G110,LEN("AF"))="AF"</formula>
    </cfRule>
    <cfRule type="beginsWith" dxfId="1203" priority="1593" operator="beginsWith" text="M-DG">
      <formula>LEFT(G110,LEN("M-DG"))="M-DG"</formula>
    </cfRule>
    <cfRule type="beginsWith" dxfId="1202" priority="1595" operator="beginsWith" text="M-Kde">
      <formula>LEFT(G110,LEN("M-Kde"))="M-Kde"</formula>
    </cfRule>
  </conditionalFormatting>
  <conditionalFormatting sqref="G110:NJ110">
    <cfRule type="beginsWith" dxfId="1201" priority="1519" operator="beginsWith" text="M">
      <formula>LEFT(G110,LEN("M"))="M"</formula>
    </cfRule>
  </conditionalFormatting>
  <conditionalFormatting sqref="G110:NJ110">
    <cfRule type="beginsWith" dxfId="1200" priority="1518" operator="beginsWith" text="Is-MB">
      <formula>LEFT(G110,LEN("Is-MB"))="Is-MB"</formula>
    </cfRule>
  </conditionalFormatting>
  <conditionalFormatting sqref="G110:NJ110">
    <cfRule type="beginsWith" dxfId="1199" priority="1517" operator="beginsWith" text="Y">
      <formula>LEFT(G110,LEN("Y"))="Y"</formula>
    </cfRule>
  </conditionalFormatting>
  <conditionalFormatting sqref="G110:NJ110">
    <cfRule type="beginsWith" dxfId="1198" priority="1516" operator="beginsWith" text="M-FP">
      <formula>LEFT(G110,LEN("M-FP"))="M-FP"</formula>
    </cfRule>
  </conditionalFormatting>
  <conditionalFormatting sqref="G110:NJ110">
    <cfRule type="beginsWith" dxfId="1197" priority="1515" operator="beginsWith" text="ME">
      <formula>LEFT(G110,LEN("ME"))="ME"</formula>
    </cfRule>
  </conditionalFormatting>
  <conditionalFormatting sqref="G110:NJ110">
    <cfRule type="beginsWith" dxfId="1196" priority="1514" operator="beginsWith" text="ME-TL">
      <formula>LEFT(G110,LEN("ME-TL"))="ME-TL"</formula>
    </cfRule>
  </conditionalFormatting>
  <conditionalFormatting sqref="G110:NJ110">
    <cfRule type="beginsWith" dxfId="1195" priority="1513" operator="beginsWith" text="M-W">
      <formula>LEFT(G110,LEN("M-W"))="M-W"</formula>
    </cfRule>
  </conditionalFormatting>
  <conditionalFormatting sqref="A110:E110">
    <cfRule type="expression" dxfId="1194" priority="1597">
      <formula>IF(AND($A110=$A111,#REF!=#REF!,$B110=$B111),0,1)</formula>
    </cfRule>
  </conditionalFormatting>
  <conditionalFormatting sqref="A110:E110">
    <cfRule type="expression" dxfId="1193" priority="1598">
      <formula>$F110="--"</formula>
    </cfRule>
  </conditionalFormatting>
  <conditionalFormatting sqref="A110:E110">
    <cfRule type="expression" dxfId="1192" priority="1599">
      <formula>$F110="-"</formula>
    </cfRule>
  </conditionalFormatting>
  <conditionalFormatting sqref="G114:NJ114">
    <cfRule type="expression" dxfId="1191" priority="1433">
      <formula>$F114="-"</formula>
    </cfRule>
    <cfRule type="expression" dxfId="1190" priority="1435">
      <formula>G$3=$PQ114</formula>
    </cfRule>
    <cfRule type="expression" dxfId="1189" priority="1437">
      <formula>G$3=$PO114</formula>
    </cfRule>
    <cfRule type="expression" dxfId="1188" priority="1439">
      <formula>G$3=$PM114</formula>
    </cfRule>
    <cfRule type="expression" dxfId="1187" priority="1441">
      <formula>IF(AND(RIGHT(G114,1)=".",LEFT(G114,2)&lt;&gt;"T1",LEFT(G114,2)&lt;&gt;"T2",LEFT(G114,2)&lt;&gt;"T3",LEFT(G114,2)&lt;&gt;"T4",LEFT(G114,2)&lt;&gt;"T5",LEFT(G114,2)&lt;&gt;"T6",LEFT(G114,2)&lt;&gt;"T7",LEFT(G114,2)&lt;&gt;"T8",LEFT(G114,2)&lt;&gt;"T9"),1,0)</formula>
    </cfRule>
    <cfRule type="expression" dxfId="1186" priority="1443">
      <formula>IF($C114&gt;0,IF(G$4=7,1,0),0)</formula>
    </cfRule>
    <cfRule type="expression" dxfId="1185" priority="1445">
      <formula>$C114&gt;0</formula>
    </cfRule>
    <cfRule type="expression" dxfId="1184" priority="1447">
      <formula>IF(OR(G114="T1.",G114="T2.",G114="T3.",G114="T4.",G114="T5.",G114="T6.",G114="T7.",G114="T8.",G114="T9."),1,0)</formula>
    </cfRule>
    <cfRule type="endsWith" dxfId="1183" priority="1449" operator="endsWith" text="_A">
      <formula>RIGHT(G114,LEN("_A"))="_A"</formula>
    </cfRule>
    <cfRule type="endsWith" dxfId="1182" priority="1451" operator="endsWith" text="_e">
      <formula>RIGHT(G114,LEN("_e"))="_e"</formula>
    </cfRule>
    <cfRule type="beginsWith" dxfId="1181" priority="1453" operator="beginsWith" text="ME-TL-AS">
      <formula>LEFT(G114,LEN("ME-TL-AS"))="ME-TL-AS"</formula>
    </cfRule>
    <cfRule type="beginsWith" dxfId="1180" priority="1455" operator="beginsWith" text="T-AS">
      <formula>LEFT(G114,LEN("T-AS"))="T-AS"</formula>
    </cfRule>
    <cfRule type="beginsWith" dxfId="1179" priority="1457" operator="beginsWith" text="M-KL">
      <formula>LEFT(G114,LEN("M-KL"))="M-KL"</formula>
    </cfRule>
    <cfRule type="beginsWith" dxfId="1178" priority="1459" operator="beginsWith" text="Ss">
      <formula>LEFT(G114,LEN("Ss"))="Ss"</formula>
    </cfRule>
    <cfRule type="beginsWith" dxfId="1177" priority="1461" operator="beginsWith" text="AC">
      <formula>LEFT(G114,LEN("AC"))="AC"</formula>
    </cfRule>
    <cfRule type="beginsWith" dxfId="1176" priority="1463" operator="beginsWith" text="TT">
      <formula>LEFT(G114,LEN("TT"))="TT"</formula>
    </cfRule>
    <cfRule type="beginsWith" dxfId="1175" priority="1465" operator="beginsWith" text="S">
      <formula>LEFT(G114,LEN("S"))="S"</formula>
    </cfRule>
    <cfRule type="beginsWith" dxfId="1174" priority="1467" operator="beginsWith" text="PK">
      <formula>LEFT(G114,LEN("PK"))="PK"</formula>
    </cfRule>
    <cfRule type="beginsWith" dxfId="1173" priority="1469" operator="beginsWith" text="W">
      <formula>LEFT(G114,LEN("W"))="W"</formula>
    </cfRule>
    <cfRule type="beginsWith" dxfId="1172" priority="1471" operator="beginsWith" text="Id">
      <formula>LEFT(G114,LEN("Id"))="Id"</formula>
    </cfRule>
    <cfRule type="beginsWith" dxfId="1171" priority="1473" operator="beginsWith" text="K">
      <formula>LEFT(G114,LEN("K"))="K"</formula>
    </cfRule>
    <cfRule type="beginsWith" dxfId="1170" priority="1475" operator="beginsWith" text="Is-ME">
      <formula>LEFT(G114,LEN("Is-ME"))="Is-ME"</formula>
    </cfRule>
    <cfRule type="beginsWith" dxfId="1169" priority="1477" operator="beginsWith" text="Is-Fe">
      <formula>LEFT(G114,LEN("Is-Fe"))="Is-Fe"</formula>
    </cfRule>
    <cfRule type="beginsWith" dxfId="1168" priority="1479" operator="beginsWith" text="Is">
      <formula>LEFT(G114,LEN("Is"))="Is"</formula>
    </cfRule>
    <cfRule type="beginsWith" dxfId="1167" priority="1481" operator="beginsWith" text="T">
      <formula>LEFT(G114,LEN("T"))="T"</formula>
    </cfRule>
    <cfRule type="beginsWith" dxfId="1166" priority="1483" operator="beginsWith" text="Mg">
      <formula>LEFT(G114,LEN("Mg"))="Mg"</formula>
    </cfRule>
    <cfRule type="beginsWith" dxfId="1165" priority="1485" operator="beginsWith" text="VM">
      <formula>LEFT(G114,LEN("VM"))="VM"</formula>
    </cfRule>
    <cfRule type="beginsWith" dxfId="1164" priority="1487" operator="beginsWith" text="ZW5">
      <formula>LEFT(G114,LEN("ZW5"))="ZW5"</formula>
    </cfRule>
    <cfRule type="beginsWith" dxfId="1163" priority="1489" operator="beginsWith" text="ZW3">
      <formula>LEFT(G114,LEN("ZW3"))="ZW3"</formula>
    </cfRule>
    <cfRule type="beginsWith" dxfId="1162" priority="1491" operator="beginsWith" text="ZW1">
      <formula>LEFT(G114,LEN("ZW1"))="ZW1"</formula>
    </cfRule>
    <cfRule type="beginsWith" dxfId="1161" priority="1493" operator="beginsWith" text="EW6">
      <formula>LEFT(G114,LEN("EW6"))="EW6"</formula>
    </cfRule>
    <cfRule type="beginsWith" dxfId="1160" priority="1495" operator="beginsWith" text="EW4">
      <formula>LEFT(G114,LEN("EW4"))="EW4"</formula>
    </cfRule>
    <cfRule type="beginsWith" dxfId="1159" priority="1497" operator="beginsWith" text="EW2">
      <formula>LEFT(G114,LEN("EW2"))="EW2"</formula>
    </cfRule>
    <cfRule type="beginsWith" dxfId="1158" priority="1499" operator="beginsWith" text="M-AS">
      <formula>LEFT(G114,LEN("M-AS"))="M-AS"</formula>
    </cfRule>
    <cfRule type="beginsWith" dxfId="1157" priority="1501" operator="beginsWith" text="TLP">
      <formula>LEFT(G114,LEN("TLP"))="TLP"</formula>
    </cfRule>
    <cfRule type="beginsWith" dxfId="1156" priority="1503" operator="beginsWith" text="US">
      <formula>LEFT(G114,LEN("US"))="US"</formula>
    </cfRule>
    <cfRule type="beginsWith" dxfId="1155" priority="1505" operator="beginsWith" text="AS">
      <formula>LEFT(G114,LEN("AS"))="AS"</formula>
    </cfRule>
    <cfRule type="beginsWith" dxfId="1154" priority="1507" operator="beginsWith" text="M-iW">
      <formula>LEFT(G114,LEN("M-iW"))="M-iW"</formula>
    </cfRule>
    <cfRule type="beginsWith" dxfId="1153" priority="1509" operator="beginsWith" text="MB">
      <formula>LEFT(G114,LEN("MB"))="MB"</formula>
    </cfRule>
  </conditionalFormatting>
  <conditionalFormatting sqref="G114:NJ114">
    <cfRule type="expression" dxfId="1152" priority="1434">
      <formula>$F114="--"</formula>
    </cfRule>
    <cfRule type="expression" dxfId="1151" priority="1436">
      <formula>G$3=$PP114</formula>
    </cfRule>
    <cfRule type="expression" dxfId="1150" priority="1438">
      <formula>G$3=$PN114</formula>
    </cfRule>
    <cfRule type="expression" dxfId="1149" priority="1440">
      <formula>G$3=$PL114</formula>
    </cfRule>
    <cfRule type="expression" dxfId="1148" priority="1442">
      <formula>IF(G114=0,IF(OR(G$4=6,G$4=7,G$5=1),1,0),0)</formula>
    </cfRule>
    <cfRule type="expression" dxfId="1147" priority="1444">
      <formula>IF($C114&gt;0,IF(G$4=1,1,0),0)</formula>
    </cfRule>
    <cfRule type="expression" dxfId="1146" priority="1446">
      <formula>IF(OR(G114="T1..",G114="T2..",G114="T3..",G114="T4..",G114="T5..",G114="T6..",G114="T7..",G114="T8..",G114="T9.."),1,0)</formula>
    </cfRule>
    <cfRule type="expression" dxfId="1145" priority="1448">
      <formula>IF(OR(G114="T1",G114="T2",G114="T3",G114="T4",G114="T5",G114="T6",G114="T7",G114="T8",G114="T9"),1,0)</formula>
    </cfRule>
    <cfRule type="endsWith" dxfId="1144" priority="1450" operator="endsWith" text="_x">
      <formula>RIGHT(G114,LEN("_x"))="_x"</formula>
    </cfRule>
    <cfRule type="beginsWith" dxfId="1143" priority="1452" operator="beginsWith" text="AS-TL">
      <formula>LEFT(G114,LEN("AS-TL"))="AS-TL"</formula>
    </cfRule>
    <cfRule type="beginsWith" dxfId="1142" priority="1454" operator="beginsWith" text="tbs">
      <formula>LEFT(G114,LEN("tbs"))="tbs"</formula>
    </cfRule>
    <cfRule type="beginsWith" dxfId="1141" priority="1456" operator="beginsWith" text="TL-AS">
      <formula>LEFT(G114,LEN("TL-AS"))="TL-AS"</formula>
    </cfRule>
    <cfRule type="beginsWith" dxfId="1140" priority="1458" operator="beginsWith" text="L">
      <formula>LEFT(G114,LEN("L"))="L"</formula>
    </cfRule>
    <cfRule type="beginsWith" dxfId="1139" priority="1460" operator="beginsWith" text="DC">
      <formula>LEFT(G114,LEN("DC"))="DC"</formula>
    </cfRule>
    <cfRule type="beginsWith" dxfId="1138" priority="1462" operator="beginsWith" text="FP">
      <formula>LEFT(G114,LEN("FP"))="FP"</formula>
    </cfRule>
    <cfRule type="beginsWith" dxfId="1137" priority="1464" operator="beginsWith" text="M-TT">
      <formula>LEFT(G114,LEN("M-TT"))="M-TT"</formula>
    </cfRule>
    <cfRule type="beginsWith" dxfId="1136" priority="1466" operator="beginsWith" text="Ü">
      <formula>LEFT(G114,LEN("Ü"))="Ü"</formula>
    </cfRule>
    <cfRule type="beginsWith" dxfId="1135" priority="1468" operator="beginsWith" text="iW">
      <formula>LEFT(G114,LEN("iW"))="iW"</formula>
    </cfRule>
    <cfRule type="beginsWith" dxfId="1134" priority="1470" operator="beginsWith" text="D">
      <formula>LEFT(G114,LEN("D"))="D"</formula>
    </cfRule>
    <cfRule type="beginsWith" dxfId="1133" priority="1472" operator="beginsWith" text="Kde">
      <formula>LEFT(G114,LEN("Kde"))="Kde"</formula>
    </cfRule>
    <cfRule type="beginsWith" dxfId="1132" priority="1474" operator="beginsWith" text="P">
      <formula>LEFT(G114,LEN("P"))="P"</formula>
    </cfRule>
    <cfRule type="beginsWith" dxfId="1131" priority="1476" operator="beginsWith" text="Is-M">
      <formula>LEFT(G114,LEN("Is-M"))="Is-M"</formula>
    </cfRule>
    <cfRule type="beginsWith" dxfId="1130" priority="1478" operator="beginsWith" text="Is-Id">
      <formula>LEFT(G114,LEN("Is-Id"))="Is-Id"</formula>
    </cfRule>
    <cfRule type="beginsWith" dxfId="1129" priority="1480" operator="beginsWith" text="M-Is">
      <formula>LEFT(G114,LEN("M-Is"))="M-Is"</formula>
    </cfRule>
    <cfRule type="beginsWith" dxfId="1128" priority="1482" operator="beginsWith" text="M-Fe">
      <formula>LEFT(G114,LEN("M-Fe"))="M-Fe"</formula>
    </cfRule>
    <cfRule type="beginsWith" dxfId="1127" priority="1484" operator="beginsWith" text="M-TP">
      <formula>LEFT(G114,LEN("M-TP"))="M-TP"</formula>
    </cfRule>
    <cfRule type="beginsWith" dxfId="1126" priority="1486" operator="beginsWith" text="ZW6">
      <formula>LEFT(G114,LEN("ZW6"))="ZW6"</formula>
    </cfRule>
    <cfRule type="beginsWith" dxfId="1125" priority="1488" operator="beginsWith" text="ZW4">
      <formula>LEFT(G114,LEN("ZW4"))="ZW4"</formula>
    </cfRule>
    <cfRule type="beginsWith" dxfId="1124" priority="1490" operator="beginsWith" text="ZW2">
      <formula>LEFT(G114,LEN("ZW2"))="ZW2"</formula>
    </cfRule>
    <cfRule type="beginsWith" dxfId="1123" priority="1492" operator="beginsWith" text="ZW0">
      <formula>LEFT(G114,LEN("ZW0"))="ZW0"</formula>
    </cfRule>
    <cfRule type="beginsWith" dxfId="1122" priority="1494" operator="beginsWith" text="EW5">
      <formula>LEFT(G114,LEN("EW5"))="EW5"</formula>
    </cfRule>
    <cfRule type="beginsWith" dxfId="1121" priority="1496" operator="beginsWith" text="EW3">
      <formula>LEFT(G114,LEN("EW3"))="EW3"</formula>
    </cfRule>
    <cfRule type="beginsWith" dxfId="1120" priority="1498" operator="beginsWith" text="EW1">
      <formula>LEFT(G114,LEN("EW1"))="EW1"</formula>
    </cfRule>
    <cfRule type="beginsWith" dxfId="1119" priority="1500" operator="beginsWith" text="TL-AS">
      <formula>LEFT(G114,LEN("TL-AS"))="TL-AS"</formula>
    </cfRule>
    <cfRule type="beginsWith" dxfId="1118" priority="1502" operator="beginsWith" text="TL">
      <formula>LEFT(G114,LEN("TL"))="TL"</formula>
    </cfRule>
    <cfRule type="beginsWith" dxfId="1117" priority="1504" operator="beginsWith" text="AF">
      <formula>LEFT(G114,LEN("AF"))="AF"</formula>
    </cfRule>
    <cfRule type="beginsWith" dxfId="1116" priority="1506" operator="beginsWith" text="M-DG">
      <formula>LEFT(G114,LEN("M-DG"))="M-DG"</formula>
    </cfRule>
    <cfRule type="beginsWith" dxfId="1115" priority="1508" operator="beginsWith" text="M-Kde">
      <formula>LEFT(G114,LEN("M-Kde"))="M-Kde"</formula>
    </cfRule>
  </conditionalFormatting>
  <conditionalFormatting sqref="G114:NJ114">
    <cfRule type="beginsWith" dxfId="1114" priority="1432" operator="beginsWith" text="M">
      <formula>LEFT(G114,LEN("M"))="M"</formula>
    </cfRule>
  </conditionalFormatting>
  <conditionalFormatting sqref="G114:NJ114">
    <cfRule type="beginsWith" dxfId="1113" priority="1431" operator="beginsWith" text="Is-MB">
      <formula>LEFT(G114,LEN("Is-MB"))="Is-MB"</formula>
    </cfRule>
  </conditionalFormatting>
  <conditionalFormatting sqref="G114:NJ114">
    <cfRule type="beginsWith" dxfId="1112" priority="1430" operator="beginsWith" text="Y">
      <formula>LEFT(G114,LEN("Y"))="Y"</formula>
    </cfRule>
  </conditionalFormatting>
  <conditionalFormatting sqref="G114:NJ114">
    <cfRule type="beginsWith" dxfId="1111" priority="1429" operator="beginsWith" text="M-FP">
      <formula>LEFT(G114,LEN("M-FP"))="M-FP"</formula>
    </cfRule>
  </conditionalFormatting>
  <conditionalFormatting sqref="G114:NJ114">
    <cfRule type="beginsWith" dxfId="1110" priority="1428" operator="beginsWith" text="ME">
      <formula>LEFT(G114,LEN("ME"))="ME"</formula>
    </cfRule>
  </conditionalFormatting>
  <conditionalFormatting sqref="G114:NJ114">
    <cfRule type="beginsWith" dxfId="1109" priority="1427" operator="beginsWith" text="ME-TL">
      <formula>LEFT(G114,LEN("ME-TL"))="ME-TL"</formula>
    </cfRule>
  </conditionalFormatting>
  <conditionalFormatting sqref="G114:NJ114">
    <cfRule type="beginsWith" dxfId="1108" priority="1426" operator="beginsWith" text="M-W">
      <formula>LEFT(G114,LEN("M-W"))="M-W"</formula>
    </cfRule>
  </conditionalFormatting>
  <conditionalFormatting sqref="A114:E114">
    <cfRule type="expression" dxfId="1107" priority="1510">
      <formula>IF(AND($A114=$A115,#REF!=#REF!,$B114=$B115),0,1)</formula>
    </cfRule>
  </conditionalFormatting>
  <conditionalFormatting sqref="A114:E114">
    <cfRule type="expression" dxfId="1106" priority="1511">
      <formula>$F114="--"</formula>
    </cfRule>
  </conditionalFormatting>
  <conditionalFormatting sqref="A114:E114">
    <cfRule type="expression" dxfId="1105" priority="1512">
      <formula>$F114="-"</formula>
    </cfRule>
  </conditionalFormatting>
  <conditionalFormatting sqref="G118:NJ118">
    <cfRule type="expression" dxfId="1104" priority="1346">
      <formula>$F118="-"</formula>
    </cfRule>
    <cfRule type="expression" dxfId="1103" priority="1348">
      <formula>G$3=$PQ118</formula>
    </cfRule>
    <cfRule type="expression" dxfId="1102" priority="1350">
      <formula>G$3=$PO118</formula>
    </cfRule>
    <cfRule type="expression" dxfId="1101" priority="1352">
      <formula>G$3=$PM118</formula>
    </cfRule>
    <cfRule type="expression" dxfId="1100" priority="1354">
      <formula>IF(AND(RIGHT(G118,1)=".",LEFT(G118,2)&lt;&gt;"T1",LEFT(G118,2)&lt;&gt;"T2",LEFT(G118,2)&lt;&gt;"T3",LEFT(G118,2)&lt;&gt;"T4",LEFT(G118,2)&lt;&gt;"T5",LEFT(G118,2)&lt;&gt;"T6",LEFT(G118,2)&lt;&gt;"T7",LEFT(G118,2)&lt;&gt;"T8",LEFT(G118,2)&lt;&gt;"T9"),1,0)</formula>
    </cfRule>
    <cfRule type="expression" dxfId="1099" priority="1356">
      <formula>IF($C118&gt;0,IF(G$4=7,1,0),0)</formula>
    </cfRule>
    <cfRule type="expression" dxfId="1098" priority="1358">
      <formula>$C118&gt;0</formula>
    </cfRule>
    <cfRule type="expression" dxfId="1097" priority="1360">
      <formula>IF(OR(G118="T1.",G118="T2.",G118="T3.",G118="T4.",G118="T5.",G118="T6.",G118="T7.",G118="T8.",G118="T9."),1,0)</formula>
    </cfRule>
    <cfRule type="endsWith" dxfId="1096" priority="1362" operator="endsWith" text="_A">
      <formula>RIGHT(G118,LEN("_A"))="_A"</formula>
    </cfRule>
    <cfRule type="endsWith" dxfId="1095" priority="1364" operator="endsWith" text="_e">
      <formula>RIGHT(G118,LEN("_e"))="_e"</formula>
    </cfRule>
    <cfRule type="beginsWith" dxfId="1094" priority="1366" operator="beginsWith" text="ME-TL-AS">
      <formula>LEFT(G118,LEN("ME-TL-AS"))="ME-TL-AS"</formula>
    </cfRule>
    <cfRule type="beginsWith" dxfId="1093" priority="1368" operator="beginsWith" text="T-AS">
      <formula>LEFT(G118,LEN("T-AS"))="T-AS"</formula>
    </cfRule>
    <cfRule type="beginsWith" dxfId="1092" priority="1370" operator="beginsWith" text="M-KL">
      <formula>LEFT(G118,LEN("M-KL"))="M-KL"</formula>
    </cfRule>
    <cfRule type="beginsWith" dxfId="1091" priority="1372" operator="beginsWith" text="Ss">
      <formula>LEFT(G118,LEN("Ss"))="Ss"</formula>
    </cfRule>
    <cfRule type="beginsWith" dxfId="1090" priority="1374" operator="beginsWith" text="AC">
      <formula>LEFT(G118,LEN("AC"))="AC"</formula>
    </cfRule>
    <cfRule type="beginsWith" dxfId="1089" priority="1376" operator="beginsWith" text="TT">
      <formula>LEFT(G118,LEN("TT"))="TT"</formula>
    </cfRule>
    <cfRule type="beginsWith" dxfId="1088" priority="1378" operator="beginsWith" text="S">
      <formula>LEFT(G118,LEN("S"))="S"</formula>
    </cfRule>
    <cfRule type="beginsWith" dxfId="1087" priority="1380" operator="beginsWith" text="PK">
      <formula>LEFT(G118,LEN("PK"))="PK"</formula>
    </cfRule>
    <cfRule type="beginsWith" dxfId="1086" priority="1382" operator="beginsWith" text="W">
      <formula>LEFT(G118,LEN("W"))="W"</formula>
    </cfRule>
    <cfRule type="beginsWith" dxfId="1085" priority="1384" operator="beginsWith" text="Id">
      <formula>LEFT(G118,LEN("Id"))="Id"</formula>
    </cfRule>
    <cfRule type="beginsWith" dxfId="1084" priority="1386" operator="beginsWith" text="K">
      <formula>LEFT(G118,LEN("K"))="K"</formula>
    </cfRule>
    <cfRule type="beginsWith" dxfId="1083" priority="1388" operator="beginsWith" text="Is-ME">
      <formula>LEFT(G118,LEN("Is-ME"))="Is-ME"</formula>
    </cfRule>
    <cfRule type="beginsWith" dxfId="1082" priority="1390" operator="beginsWith" text="Is-Fe">
      <formula>LEFT(G118,LEN("Is-Fe"))="Is-Fe"</formula>
    </cfRule>
    <cfRule type="beginsWith" dxfId="1081" priority="1392" operator="beginsWith" text="Is">
      <formula>LEFT(G118,LEN("Is"))="Is"</formula>
    </cfRule>
    <cfRule type="beginsWith" dxfId="1080" priority="1394" operator="beginsWith" text="T">
      <formula>LEFT(G118,LEN("T"))="T"</formula>
    </cfRule>
    <cfRule type="beginsWith" dxfId="1079" priority="1396" operator="beginsWith" text="Mg">
      <formula>LEFT(G118,LEN("Mg"))="Mg"</formula>
    </cfRule>
    <cfRule type="beginsWith" dxfId="1078" priority="1398" operator="beginsWith" text="VM">
      <formula>LEFT(G118,LEN("VM"))="VM"</formula>
    </cfRule>
    <cfRule type="beginsWith" dxfId="1077" priority="1400" operator="beginsWith" text="ZW5">
      <formula>LEFT(G118,LEN("ZW5"))="ZW5"</formula>
    </cfRule>
    <cfRule type="beginsWith" dxfId="1076" priority="1402" operator="beginsWith" text="ZW3">
      <formula>LEFT(G118,LEN("ZW3"))="ZW3"</formula>
    </cfRule>
    <cfRule type="beginsWith" dxfId="1075" priority="1404" operator="beginsWith" text="ZW1">
      <formula>LEFT(G118,LEN("ZW1"))="ZW1"</formula>
    </cfRule>
    <cfRule type="beginsWith" dxfId="1074" priority="1406" operator="beginsWith" text="EW6">
      <formula>LEFT(G118,LEN("EW6"))="EW6"</formula>
    </cfRule>
    <cfRule type="beginsWith" dxfId="1073" priority="1408" operator="beginsWith" text="EW4">
      <formula>LEFT(G118,LEN("EW4"))="EW4"</formula>
    </cfRule>
    <cfRule type="beginsWith" dxfId="1072" priority="1410" operator="beginsWith" text="EW2">
      <formula>LEFT(G118,LEN("EW2"))="EW2"</formula>
    </cfRule>
    <cfRule type="beginsWith" dxfId="1071" priority="1412" operator="beginsWith" text="M-AS">
      <formula>LEFT(G118,LEN("M-AS"))="M-AS"</formula>
    </cfRule>
    <cfRule type="beginsWith" dxfId="1070" priority="1414" operator="beginsWith" text="TLP">
      <formula>LEFT(G118,LEN("TLP"))="TLP"</formula>
    </cfRule>
    <cfRule type="beginsWith" dxfId="1069" priority="1416" operator="beginsWith" text="US">
      <formula>LEFT(G118,LEN("US"))="US"</formula>
    </cfRule>
    <cfRule type="beginsWith" dxfId="1068" priority="1418" operator="beginsWith" text="AS">
      <formula>LEFT(G118,LEN("AS"))="AS"</formula>
    </cfRule>
    <cfRule type="beginsWith" dxfId="1067" priority="1420" operator="beginsWith" text="M-iW">
      <formula>LEFT(G118,LEN("M-iW"))="M-iW"</formula>
    </cfRule>
    <cfRule type="beginsWith" dxfId="1066" priority="1422" operator="beginsWith" text="MB">
      <formula>LEFT(G118,LEN("MB"))="MB"</formula>
    </cfRule>
  </conditionalFormatting>
  <conditionalFormatting sqref="G118:NJ118">
    <cfRule type="expression" dxfId="1065" priority="1347">
      <formula>$F118="--"</formula>
    </cfRule>
    <cfRule type="expression" dxfId="1064" priority="1349">
      <formula>G$3=$PP118</formula>
    </cfRule>
    <cfRule type="expression" dxfId="1063" priority="1351">
      <formula>G$3=$PN118</formula>
    </cfRule>
    <cfRule type="expression" dxfId="1062" priority="1353">
      <formula>G$3=$PL118</formula>
    </cfRule>
    <cfRule type="expression" dxfId="1061" priority="1355">
      <formula>IF(G118=0,IF(OR(G$4=6,G$4=7,G$5=1),1,0),0)</formula>
    </cfRule>
    <cfRule type="expression" dxfId="1060" priority="1357">
      <formula>IF($C118&gt;0,IF(G$4=1,1,0),0)</formula>
    </cfRule>
    <cfRule type="expression" dxfId="1059" priority="1359">
      <formula>IF(OR(G118="T1..",G118="T2..",G118="T3..",G118="T4..",G118="T5..",G118="T6..",G118="T7..",G118="T8..",G118="T9.."),1,0)</formula>
    </cfRule>
    <cfRule type="expression" dxfId="1058" priority="1361">
      <formula>IF(OR(G118="T1",G118="T2",G118="T3",G118="T4",G118="T5",G118="T6",G118="T7",G118="T8",G118="T9"),1,0)</formula>
    </cfRule>
    <cfRule type="endsWith" dxfId="1057" priority="1363" operator="endsWith" text="_x">
      <formula>RIGHT(G118,LEN("_x"))="_x"</formula>
    </cfRule>
    <cfRule type="beginsWith" dxfId="1056" priority="1365" operator="beginsWith" text="AS-TL">
      <formula>LEFT(G118,LEN("AS-TL"))="AS-TL"</formula>
    </cfRule>
    <cfRule type="beginsWith" dxfId="1055" priority="1367" operator="beginsWith" text="tbs">
      <formula>LEFT(G118,LEN("tbs"))="tbs"</formula>
    </cfRule>
    <cfRule type="beginsWith" dxfId="1054" priority="1369" operator="beginsWith" text="TL-AS">
      <formula>LEFT(G118,LEN("TL-AS"))="TL-AS"</formula>
    </cfRule>
    <cfRule type="beginsWith" dxfId="1053" priority="1371" operator="beginsWith" text="L">
      <formula>LEFT(G118,LEN("L"))="L"</formula>
    </cfRule>
    <cfRule type="beginsWith" dxfId="1052" priority="1373" operator="beginsWith" text="DC">
      <formula>LEFT(G118,LEN("DC"))="DC"</formula>
    </cfRule>
    <cfRule type="beginsWith" dxfId="1051" priority="1375" operator="beginsWith" text="FP">
      <formula>LEFT(G118,LEN("FP"))="FP"</formula>
    </cfRule>
    <cfRule type="beginsWith" dxfId="1050" priority="1377" operator="beginsWith" text="M-TT">
      <formula>LEFT(G118,LEN("M-TT"))="M-TT"</formula>
    </cfRule>
    <cfRule type="beginsWith" dxfId="1049" priority="1379" operator="beginsWith" text="Ü">
      <formula>LEFT(G118,LEN("Ü"))="Ü"</formula>
    </cfRule>
    <cfRule type="beginsWith" dxfId="1048" priority="1381" operator="beginsWith" text="iW">
      <formula>LEFT(G118,LEN("iW"))="iW"</formula>
    </cfRule>
    <cfRule type="beginsWith" dxfId="1047" priority="1383" operator="beginsWith" text="D">
      <formula>LEFT(G118,LEN("D"))="D"</formula>
    </cfRule>
    <cfRule type="beginsWith" dxfId="1046" priority="1385" operator="beginsWith" text="Kde">
      <formula>LEFT(G118,LEN("Kde"))="Kde"</formula>
    </cfRule>
    <cfRule type="beginsWith" dxfId="1045" priority="1387" operator="beginsWith" text="P">
      <formula>LEFT(G118,LEN("P"))="P"</formula>
    </cfRule>
    <cfRule type="beginsWith" dxfId="1044" priority="1389" operator="beginsWith" text="Is-M">
      <formula>LEFT(G118,LEN("Is-M"))="Is-M"</formula>
    </cfRule>
    <cfRule type="beginsWith" dxfId="1043" priority="1391" operator="beginsWith" text="Is-Id">
      <formula>LEFT(G118,LEN("Is-Id"))="Is-Id"</formula>
    </cfRule>
    <cfRule type="beginsWith" dxfId="1042" priority="1393" operator="beginsWith" text="M-Is">
      <formula>LEFT(G118,LEN("M-Is"))="M-Is"</formula>
    </cfRule>
    <cfRule type="beginsWith" dxfId="1041" priority="1395" operator="beginsWith" text="M-Fe">
      <formula>LEFT(G118,LEN("M-Fe"))="M-Fe"</formula>
    </cfRule>
    <cfRule type="beginsWith" dxfId="1040" priority="1397" operator="beginsWith" text="M-TP">
      <formula>LEFT(G118,LEN("M-TP"))="M-TP"</formula>
    </cfRule>
    <cfRule type="beginsWith" dxfId="1039" priority="1399" operator="beginsWith" text="ZW6">
      <formula>LEFT(G118,LEN("ZW6"))="ZW6"</formula>
    </cfRule>
    <cfRule type="beginsWith" dxfId="1038" priority="1401" operator="beginsWith" text="ZW4">
      <formula>LEFT(G118,LEN("ZW4"))="ZW4"</formula>
    </cfRule>
    <cfRule type="beginsWith" dxfId="1037" priority="1403" operator="beginsWith" text="ZW2">
      <formula>LEFT(G118,LEN("ZW2"))="ZW2"</formula>
    </cfRule>
    <cfRule type="beginsWith" dxfId="1036" priority="1405" operator="beginsWith" text="ZW0">
      <formula>LEFT(G118,LEN("ZW0"))="ZW0"</formula>
    </cfRule>
    <cfRule type="beginsWith" dxfId="1035" priority="1407" operator="beginsWith" text="EW5">
      <formula>LEFT(G118,LEN("EW5"))="EW5"</formula>
    </cfRule>
    <cfRule type="beginsWith" dxfId="1034" priority="1409" operator="beginsWith" text="EW3">
      <formula>LEFT(G118,LEN("EW3"))="EW3"</formula>
    </cfRule>
    <cfRule type="beginsWith" dxfId="1033" priority="1411" operator="beginsWith" text="EW1">
      <formula>LEFT(G118,LEN("EW1"))="EW1"</formula>
    </cfRule>
    <cfRule type="beginsWith" dxfId="1032" priority="1413" operator="beginsWith" text="TL-AS">
      <formula>LEFT(G118,LEN("TL-AS"))="TL-AS"</formula>
    </cfRule>
    <cfRule type="beginsWith" dxfId="1031" priority="1415" operator="beginsWith" text="TL">
      <formula>LEFT(G118,LEN("TL"))="TL"</formula>
    </cfRule>
    <cfRule type="beginsWith" dxfId="1030" priority="1417" operator="beginsWith" text="AF">
      <formula>LEFT(G118,LEN("AF"))="AF"</formula>
    </cfRule>
    <cfRule type="beginsWith" dxfId="1029" priority="1419" operator="beginsWith" text="M-DG">
      <formula>LEFT(G118,LEN("M-DG"))="M-DG"</formula>
    </cfRule>
    <cfRule type="beginsWith" dxfId="1028" priority="1421" operator="beginsWith" text="M-Kde">
      <formula>LEFT(G118,LEN("M-Kde"))="M-Kde"</formula>
    </cfRule>
  </conditionalFormatting>
  <conditionalFormatting sqref="G118:NJ118">
    <cfRule type="beginsWith" dxfId="1027" priority="1345" operator="beginsWith" text="M">
      <formula>LEFT(G118,LEN("M"))="M"</formula>
    </cfRule>
  </conditionalFormatting>
  <conditionalFormatting sqref="G118:NJ118">
    <cfRule type="beginsWith" dxfId="1026" priority="1344" operator="beginsWith" text="Is-MB">
      <formula>LEFT(G118,LEN("Is-MB"))="Is-MB"</formula>
    </cfRule>
  </conditionalFormatting>
  <conditionalFormatting sqref="G118:NJ118">
    <cfRule type="beginsWith" dxfId="1025" priority="1343" operator="beginsWith" text="Y">
      <formula>LEFT(G118,LEN("Y"))="Y"</formula>
    </cfRule>
  </conditionalFormatting>
  <conditionalFormatting sqref="G118:NJ118">
    <cfRule type="beginsWith" dxfId="1024" priority="1342" operator="beginsWith" text="M-FP">
      <formula>LEFT(G118,LEN("M-FP"))="M-FP"</formula>
    </cfRule>
  </conditionalFormatting>
  <conditionalFormatting sqref="G118:NJ118">
    <cfRule type="beginsWith" dxfId="1023" priority="1341" operator="beginsWith" text="ME">
      <formula>LEFT(G118,LEN("ME"))="ME"</formula>
    </cfRule>
  </conditionalFormatting>
  <conditionalFormatting sqref="G118:NJ118">
    <cfRule type="beginsWith" dxfId="1022" priority="1340" operator="beginsWith" text="ME-TL">
      <formula>LEFT(G118,LEN("ME-TL"))="ME-TL"</formula>
    </cfRule>
  </conditionalFormatting>
  <conditionalFormatting sqref="G118:NJ118">
    <cfRule type="beginsWith" dxfId="1021" priority="1339" operator="beginsWith" text="M-W">
      <formula>LEFT(G118,LEN("M-W"))="M-W"</formula>
    </cfRule>
  </conditionalFormatting>
  <conditionalFormatting sqref="A118:E118">
    <cfRule type="expression" dxfId="1020" priority="1423">
      <formula>IF(AND($A118=$A119,#REF!=#REF!,$B118=$B119),0,1)</formula>
    </cfRule>
  </conditionalFormatting>
  <conditionalFormatting sqref="A118:E118">
    <cfRule type="expression" dxfId="1019" priority="1424">
      <formula>$F118="--"</formula>
    </cfRule>
  </conditionalFormatting>
  <conditionalFormatting sqref="A118:E118">
    <cfRule type="expression" dxfId="1018" priority="1425">
      <formula>$F118="-"</formula>
    </cfRule>
  </conditionalFormatting>
  <conditionalFormatting sqref="G122:NJ122">
    <cfRule type="expression" dxfId="1017" priority="1259">
      <formula>$F122="-"</formula>
    </cfRule>
    <cfRule type="expression" dxfId="1016" priority="1261">
      <formula>G$3=$PQ122</formula>
    </cfRule>
    <cfRule type="expression" dxfId="1015" priority="1263">
      <formula>G$3=$PO122</formula>
    </cfRule>
    <cfRule type="expression" dxfId="1014" priority="1265">
      <formula>G$3=$PM122</formula>
    </cfRule>
    <cfRule type="expression" dxfId="1013" priority="1267">
      <formula>IF(AND(RIGHT(G122,1)=".",LEFT(G122,2)&lt;&gt;"T1",LEFT(G122,2)&lt;&gt;"T2",LEFT(G122,2)&lt;&gt;"T3",LEFT(G122,2)&lt;&gt;"T4",LEFT(G122,2)&lt;&gt;"T5",LEFT(G122,2)&lt;&gt;"T6",LEFT(G122,2)&lt;&gt;"T7",LEFT(G122,2)&lt;&gt;"T8",LEFT(G122,2)&lt;&gt;"T9"),1,0)</formula>
    </cfRule>
    <cfRule type="expression" dxfId="1012" priority="1269">
      <formula>IF($C122&gt;0,IF(G$4=7,1,0),0)</formula>
    </cfRule>
    <cfRule type="expression" dxfId="1011" priority="1271">
      <formula>$C122&gt;0</formula>
    </cfRule>
    <cfRule type="expression" dxfId="1010" priority="1273">
      <formula>IF(OR(G122="T1.",G122="T2.",G122="T3.",G122="T4.",G122="T5.",G122="T6.",G122="T7.",G122="T8.",G122="T9."),1,0)</formula>
    </cfRule>
    <cfRule type="endsWith" dxfId="1009" priority="1275" operator="endsWith" text="_A">
      <formula>RIGHT(G122,LEN("_A"))="_A"</formula>
    </cfRule>
    <cfRule type="endsWith" dxfId="1008" priority="1277" operator="endsWith" text="_e">
      <formula>RIGHT(G122,LEN("_e"))="_e"</formula>
    </cfRule>
    <cfRule type="beginsWith" dxfId="1007" priority="1279" operator="beginsWith" text="ME-TL-AS">
      <formula>LEFT(G122,LEN("ME-TL-AS"))="ME-TL-AS"</formula>
    </cfRule>
    <cfRule type="beginsWith" dxfId="1006" priority="1281" operator="beginsWith" text="T-AS">
      <formula>LEFT(G122,LEN("T-AS"))="T-AS"</formula>
    </cfRule>
    <cfRule type="beginsWith" dxfId="1005" priority="1283" operator="beginsWith" text="M-KL">
      <formula>LEFT(G122,LEN("M-KL"))="M-KL"</formula>
    </cfRule>
    <cfRule type="beginsWith" dxfId="1004" priority="1285" operator="beginsWith" text="Ss">
      <formula>LEFT(G122,LEN("Ss"))="Ss"</formula>
    </cfRule>
    <cfRule type="beginsWith" dxfId="1003" priority="1287" operator="beginsWith" text="AC">
      <formula>LEFT(G122,LEN("AC"))="AC"</formula>
    </cfRule>
    <cfRule type="beginsWith" dxfId="1002" priority="1289" operator="beginsWith" text="TT">
      <formula>LEFT(G122,LEN("TT"))="TT"</formula>
    </cfRule>
    <cfRule type="beginsWith" dxfId="1001" priority="1291" operator="beginsWith" text="S">
      <formula>LEFT(G122,LEN("S"))="S"</formula>
    </cfRule>
    <cfRule type="beginsWith" dxfId="1000" priority="1293" operator="beginsWith" text="PK">
      <formula>LEFT(G122,LEN("PK"))="PK"</formula>
    </cfRule>
    <cfRule type="beginsWith" dxfId="999" priority="1295" operator="beginsWith" text="W">
      <formula>LEFT(G122,LEN("W"))="W"</formula>
    </cfRule>
    <cfRule type="beginsWith" dxfId="998" priority="1297" operator="beginsWith" text="Id">
      <formula>LEFT(G122,LEN("Id"))="Id"</formula>
    </cfRule>
    <cfRule type="beginsWith" dxfId="997" priority="1299" operator="beginsWith" text="K">
      <formula>LEFT(G122,LEN("K"))="K"</formula>
    </cfRule>
    <cfRule type="beginsWith" dxfId="996" priority="1301" operator="beginsWith" text="Is-ME">
      <formula>LEFT(G122,LEN("Is-ME"))="Is-ME"</formula>
    </cfRule>
    <cfRule type="beginsWith" dxfId="995" priority="1303" operator="beginsWith" text="Is-Fe">
      <formula>LEFT(G122,LEN("Is-Fe"))="Is-Fe"</formula>
    </cfRule>
    <cfRule type="beginsWith" dxfId="994" priority="1305" operator="beginsWith" text="Is">
      <formula>LEFT(G122,LEN("Is"))="Is"</formula>
    </cfRule>
    <cfRule type="beginsWith" dxfId="993" priority="1307" operator="beginsWith" text="T">
      <formula>LEFT(G122,LEN("T"))="T"</formula>
    </cfRule>
    <cfRule type="beginsWith" dxfId="992" priority="1309" operator="beginsWith" text="Mg">
      <formula>LEFT(G122,LEN("Mg"))="Mg"</formula>
    </cfRule>
    <cfRule type="beginsWith" dxfId="991" priority="1311" operator="beginsWith" text="VM">
      <formula>LEFT(G122,LEN("VM"))="VM"</formula>
    </cfRule>
    <cfRule type="beginsWith" dxfId="990" priority="1313" operator="beginsWith" text="ZW5">
      <formula>LEFT(G122,LEN("ZW5"))="ZW5"</formula>
    </cfRule>
    <cfRule type="beginsWith" dxfId="989" priority="1315" operator="beginsWith" text="ZW3">
      <formula>LEFT(G122,LEN("ZW3"))="ZW3"</formula>
    </cfRule>
    <cfRule type="beginsWith" dxfId="988" priority="1317" operator="beginsWith" text="ZW1">
      <formula>LEFT(G122,LEN("ZW1"))="ZW1"</formula>
    </cfRule>
    <cfRule type="beginsWith" dxfId="987" priority="1319" operator="beginsWith" text="EW6">
      <formula>LEFT(G122,LEN("EW6"))="EW6"</formula>
    </cfRule>
    <cfRule type="beginsWith" dxfId="986" priority="1321" operator="beginsWith" text="EW4">
      <formula>LEFT(G122,LEN("EW4"))="EW4"</formula>
    </cfRule>
    <cfRule type="beginsWith" dxfId="985" priority="1323" operator="beginsWith" text="EW2">
      <formula>LEFT(G122,LEN("EW2"))="EW2"</formula>
    </cfRule>
    <cfRule type="beginsWith" dxfId="984" priority="1325" operator="beginsWith" text="M-AS">
      <formula>LEFT(G122,LEN("M-AS"))="M-AS"</formula>
    </cfRule>
    <cfRule type="beginsWith" dxfId="983" priority="1327" operator="beginsWith" text="TLP">
      <formula>LEFT(G122,LEN("TLP"))="TLP"</formula>
    </cfRule>
    <cfRule type="beginsWith" dxfId="982" priority="1329" operator="beginsWith" text="US">
      <formula>LEFT(G122,LEN("US"))="US"</formula>
    </cfRule>
    <cfRule type="beginsWith" dxfId="981" priority="1331" operator="beginsWith" text="AS">
      <formula>LEFT(G122,LEN("AS"))="AS"</formula>
    </cfRule>
    <cfRule type="beginsWith" dxfId="980" priority="1333" operator="beginsWith" text="M-iW">
      <formula>LEFT(G122,LEN("M-iW"))="M-iW"</formula>
    </cfRule>
    <cfRule type="beginsWith" dxfId="979" priority="1335" operator="beginsWith" text="MB">
      <formula>LEFT(G122,LEN("MB"))="MB"</formula>
    </cfRule>
  </conditionalFormatting>
  <conditionalFormatting sqref="G122:NJ122">
    <cfRule type="expression" dxfId="978" priority="1260">
      <formula>$F122="--"</formula>
    </cfRule>
    <cfRule type="expression" dxfId="977" priority="1262">
      <formula>G$3=$PP122</formula>
    </cfRule>
    <cfRule type="expression" dxfId="976" priority="1264">
      <formula>G$3=$PN122</formula>
    </cfRule>
    <cfRule type="expression" dxfId="975" priority="1266">
      <formula>G$3=$PL122</formula>
    </cfRule>
    <cfRule type="expression" dxfId="974" priority="1268">
      <formula>IF(G122=0,IF(OR(G$4=6,G$4=7,G$5=1),1,0),0)</formula>
    </cfRule>
    <cfRule type="expression" dxfId="973" priority="1270">
      <formula>IF($C122&gt;0,IF(G$4=1,1,0),0)</formula>
    </cfRule>
    <cfRule type="expression" dxfId="972" priority="1272">
      <formula>IF(OR(G122="T1..",G122="T2..",G122="T3..",G122="T4..",G122="T5..",G122="T6..",G122="T7..",G122="T8..",G122="T9.."),1,0)</formula>
    </cfRule>
    <cfRule type="expression" dxfId="971" priority="1274">
      <formula>IF(OR(G122="T1",G122="T2",G122="T3",G122="T4",G122="T5",G122="T6",G122="T7",G122="T8",G122="T9"),1,0)</formula>
    </cfRule>
    <cfRule type="endsWith" dxfId="970" priority="1276" operator="endsWith" text="_x">
      <formula>RIGHT(G122,LEN("_x"))="_x"</formula>
    </cfRule>
    <cfRule type="beginsWith" dxfId="969" priority="1278" operator="beginsWith" text="AS-TL">
      <formula>LEFT(G122,LEN("AS-TL"))="AS-TL"</formula>
    </cfRule>
    <cfRule type="beginsWith" dxfId="968" priority="1280" operator="beginsWith" text="tbs">
      <formula>LEFT(G122,LEN("tbs"))="tbs"</formula>
    </cfRule>
    <cfRule type="beginsWith" dxfId="967" priority="1282" operator="beginsWith" text="TL-AS">
      <formula>LEFT(G122,LEN("TL-AS"))="TL-AS"</formula>
    </cfRule>
    <cfRule type="beginsWith" dxfId="966" priority="1284" operator="beginsWith" text="L">
      <formula>LEFT(G122,LEN("L"))="L"</formula>
    </cfRule>
    <cfRule type="beginsWith" dxfId="965" priority="1286" operator="beginsWith" text="DC">
      <formula>LEFT(G122,LEN("DC"))="DC"</formula>
    </cfRule>
    <cfRule type="beginsWith" dxfId="964" priority="1288" operator="beginsWith" text="FP">
      <formula>LEFT(G122,LEN("FP"))="FP"</formula>
    </cfRule>
    <cfRule type="beginsWith" dxfId="963" priority="1290" operator="beginsWith" text="M-TT">
      <formula>LEFT(G122,LEN("M-TT"))="M-TT"</formula>
    </cfRule>
    <cfRule type="beginsWith" dxfId="962" priority="1292" operator="beginsWith" text="Ü">
      <formula>LEFT(G122,LEN("Ü"))="Ü"</formula>
    </cfRule>
    <cfRule type="beginsWith" dxfId="961" priority="1294" operator="beginsWith" text="iW">
      <formula>LEFT(G122,LEN("iW"))="iW"</formula>
    </cfRule>
    <cfRule type="beginsWith" dxfId="960" priority="1296" operator="beginsWith" text="D">
      <formula>LEFT(G122,LEN("D"))="D"</formula>
    </cfRule>
    <cfRule type="beginsWith" dxfId="959" priority="1298" operator="beginsWith" text="Kde">
      <formula>LEFT(G122,LEN("Kde"))="Kde"</formula>
    </cfRule>
    <cfRule type="beginsWith" dxfId="958" priority="1300" operator="beginsWith" text="P">
      <formula>LEFT(G122,LEN("P"))="P"</formula>
    </cfRule>
    <cfRule type="beginsWith" dxfId="957" priority="1302" operator="beginsWith" text="Is-M">
      <formula>LEFT(G122,LEN("Is-M"))="Is-M"</formula>
    </cfRule>
    <cfRule type="beginsWith" dxfId="956" priority="1304" operator="beginsWith" text="Is-Id">
      <formula>LEFT(G122,LEN("Is-Id"))="Is-Id"</formula>
    </cfRule>
    <cfRule type="beginsWith" dxfId="955" priority="1306" operator="beginsWith" text="M-Is">
      <formula>LEFT(G122,LEN("M-Is"))="M-Is"</formula>
    </cfRule>
    <cfRule type="beginsWith" dxfId="954" priority="1308" operator="beginsWith" text="M-Fe">
      <formula>LEFT(G122,LEN("M-Fe"))="M-Fe"</formula>
    </cfRule>
    <cfRule type="beginsWith" dxfId="953" priority="1310" operator="beginsWith" text="M-TP">
      <formula>LEFT(G122,LEN("M-TP"))="M-TP"</formula>
    </cfRule>
    <cfRule type="beginsWith" dxfId="952" priority="1312" operator="beginsWith" text="ZW6">
      <formula>LEFT(G122,LEN("ZW6"))="ZW6"</formula>
    </cfRule>
    <cfRule type="beginsWith" dxfId="951" priority="1314" operator="beginsWith" text="ZW4">
      <formula>LEFT(G122,LEN("ZW4"))="ZW4"</formula>
    </cfRule>
    <cfRule type="beginsWith" dxfId="950" priority="1316" operator="beginsWith" text="ZW2">
      <formula>LEFT(G122,LEN("ZW2"))="ZW2"</formula>
    </cfRule>
    <cfRule type="beginsWith" dxfId="949" priority="1318" operator="beginsWith" text="ZW0">
      <formula>LEFT(G122,LEN("ZW0"))="ZW0"</formula>
    </cfRule>
    <cfRule type="beginsWith" dxfId="948" priority="1320" operator="beginsWith" text="EW5">
      <formula>LEFT(G122,LEN("EW5"))="EW5"</formula>
    </cfRule>
    <cfRule type="beginsWith" dxfId="947" priority="1322" operator="beginsWith" text="EW3">
      <formula>LEFT(G122,LEN("EW3"))="EW3"</formula>
    </cfRule>
    <cfRule type="beginsWith" dxfId="946" priority="1324" operator="beginsWith" text="EW1">
      <formula>LEFT(G122,LEN("EW1"))="EW1"</formula>
    </cfRule>
    <cfRule type="beginsWith" dxfId="945" priority="1326" operator="beginsWith" text="TL-AS">
      <formula>LEFT(G122,LEN("TL-AS"))="TL-AS"</formula>
    </cfRule>
    <cfRule type="beginsWith" dxfId="944" priority="1328" operator="beginsWith" text="TL">
      <formula>LEFT(G122,LEN("TL"))="TL"</formula>
    </cfRule>
    <cfRule type="beginsWith" dxfId="943" priority="1330" operator="beginsWith" text="AF">
      <formula>LEFT(G122,LEN("AF"))="AF"</formula>
    </cfRule>
    <cfRule type="beginsWith" dxfId="942" priority="1332" operator="beginsWith" text="M-DG">
      <formula>LEFT(G122,LEN("M-DG"))="M-DG"</formula>
    </cfRule>
    <cfRule type="beginsWith" dxfId="941" priority="1334" operator="beginsWith" text="M-Kde">
      <formula>LEFT(G122,LEN("M-Kde"))="M-Kde"</formula>
    </cfRule>
  </conditionalFormatting>
  <conditionalFormatting sqref="G122:NJ122">
    <cfRule type="beginsWith" dxfId="940" priority="1258" operator="beginsWith" text="M">
      <formula>LEFT(G122,LEN("M"))="M"</formula>
    </cfRule>
  </conditionalFormatting>
  <conditionalFormatting sqref="G122:NJ122">
    <cfRule type="beginsWith" dxfId="939" priority="1257" operator="beginsWith" text="Is-MB">
      <formula>LEFT(G122,LEN("Is-MB"))="Is-MB"</formula>
    </cfRule>
  </conditionalFormatting>
  <conditionalFormatting sqref="G122:NJ122">
    <cfRule type="beginsWith" dxfId="938" priority="1256" operator="beginsWith" text="Y">
      <formula>LEFT(G122,LEN("Y"))="Y"</formula>
    </cfRule>
  </conditionalFormatting>
  <conditionalFormatting sqref="G122:NJ122">
    <cfRule type="beginsWith" dxfId="937" priority="1255" operator="beginsWith" text="M-FP">
      <formula>LEFT(G122,LEN("M-FP"))="M-FP"</formula>
    </cfRule>
  </conditionalFormatting>
  <conditionalFormatting sqref="G122:NJ122">
    <cfRule type="beginsWith" dxfId="936" priority="1254" operator="beginsWith" text="ME">
      <formula>LEFT(G122,LEN("ME"))="ME"</formula>
    </cfRule>
  </conditionalFormatting>
  <conditionalFormatting sqref="G122:NJ122">
    <cfRule type="beginsWith" dxfId="935" priority="1253" operator="beginsWith" text="ME-TL">
      <formula>LEFT(G122,LEN("ME-TL"))="ME-TL"</formula>
    </cfRule>
  </conditionalFormatting>
  <conditionalFormatting sqref="G122:NJ122">
    <cfRule type="beginsWith" dxfId="934" priority="1252" operator="beginsWith" text="M-W">
      <formula>LEFT(G122,LEN("M-W"))="M-W"</formula>
    </cfRule>
  </conditionalFormatting>
  <conditionalFormatting sqref="A122:E122">
    <cfRule type="expression" dxfId="933" priority="1336">
      <formula>IF(AND($A122=$A123,#REF!=#REF!,$B122=$B123),0,1)</formula>
    </cfRule>
  </conditionalFormatting>
  <conditionalFormatting sqref="A122:E122">
    <cfRule type="expression" dxfId="932" priority="1337">
      <formula>$F122="--"</formula>
    </cfRule>
  </conditionalFormatting>
  <conditionalFormatting sqref="A122:E122">
    <cfRule type="expression" dxfId="931" priority="1338">
      <formula>$F122="-"</formula>
    </cfRule>
  </conditionalFormatting>
  <conditionalFormatting sqref="N47">
    <cfRule type="beginsWith" dxfId="930" priority="1020" operator="beginsWith" text="M">
      <formula>LEFT(N47,LEN("M"))="M"</formula>
    </cfRule>
  </conditionalFormatting>
  <conditionalFormatting sqref="N47">
    <cfRule type="beginsWith" dxfId="929" priority="1019" operator="beginsWith" text="Is-MB">
      <formula>LEFT(N47,LEN("Is-MB"))="Is-MB"</formula>
    </cfRule>
  </conditionalFormatting>
  <conditionalFormatting sqref="N47">
    <cfRule type="beginsWith" dxfId="928" priority="1018" operator="beginsWith" text="Y">
      <formula>LEFT(N47,LEN("Y"))="Y"</formula>
    </cfRule>
  </conditionalFormatting>
  <conditionalFormatting sqref="N47">
    <cfRule type="beginsWith" dxfId="927" priority="1017" operator="beginsWith" text="M-FP">
      <formula>LEFT(N47,LEN("M-FP"))="M-FP"</formula>
    </cfRule>
  </conditionalFormatting>
  <conditionalFormatting sqref="N47">
    <cfRule type="beginsWith" dxfId="926" priority="1016" operator="beginsWith" text="ME">
      <formula>LEFT(N47,LEN("ME"))="ME"</formula>
    </cfRule>
  </conditionalFormatting>
  <conditionalFormatting sqref="N47">
    <cfRule type="beginsWith" dxfId="925" priority="1015" operator="beginsWith" text="ME-TL">
      <formula>LEFT(N47,LEN("ME-TL"))="ME-TL"</formula>
    </cfRule>
  </conditionalFormatting>
  <conditionalFormatting sqref="N47">
    <cfRule type="beginsWith" dxfId="924" priority="1014" operator="beginsWith" text="M-W">
      <formula>LEFT(N47,LEN("M-W"))="M-W"</formula>
    </cfRule>
  </conditionalFormatting>
  <conditionalFormatting sqref="AB47">
    <cfRule type="beginsWith" dxfId="923" priority="1013" operator="beginsWith" text="M">
      <formula>LEFT(AB47,LEN("M"))="M"</formula>
    </cfRule>
  </conditionalFormatting>
  <conditionalFormatting sqref="AB47">
    <cfRule type="beginsWith" dxfId="922" priority="1012" operator="beginsWith" text="Is-MB">
      <formula>LEFT(AB47,LEN("Is-MB"))="Is-MB"</formula>
    </cfRule>
  </conditionalFormatting>
  <conditionalFormatting sqref="AB47">
    <cfRule type="beginsWith" dxfId="921" priority="1011" operator="beginsWith" text="Y">
      <formula>LEFT(AB47,LEN("Y"))="Y"</formula>
    </cfRule>
  </conditionalFormatting>
  <conditionalFormatting sqref="AB47">
    <cfRule type="beginsWith" dxfId="920" priority="1010" operator="beginsWith" text="M-FP">
      <formula>LEFT(AB47,LEN("M-FP"))="M-FP"</formula>
    </cfRule>
  </conditionalFormatting>
  <conditionalFormatting sqref="AB47">
    <cfRule type="beginsWith" dxfId="919" priority="1009" operator="beginsWith" text="ME">
      <formula>LEFT(AB47,LEN("ME"))="ME"</formula>
    </cfRule>
  </conditionalFormatting>
  <conditionalFormatting sqref="AB47">
    <cfRule type="beginsWith" dxfId="918" priority="1008" operator="beginsWith" text="ME-TL">
      <formula>LEFT(AB47,LEN("ME-TL"))="ME-TL"</formula>
    </cfRule>
  </conditionalFormatting>
  <conditionalFormatting sqref="AB47">
    <cfRule type="beginsWith" dxfId="917" priority="1007" operator="beginsWith" text="M-W">
      <formula>LEFT(AB47,LEN("M-W"))="M-W"</formula>
    </cfRule>
  </conditionalFormatting>
  <conditionalFormatting sqref="AI47">
    <cfRule type="beginsWith" dxfId="916" priority="1006" operator="beginsWith" text="M">
      <formula>LEFT(AI47,LEN("M"))="M"</formula>
    </cfRule>
  </conditionalFormatting>
  <conditionalFormatting sqref="AI47">
    <cfRule type="beginsWith" dxfId="915" priority="1005" operator="beginsWith" text="Is-MB">
      <formula>LEFT(AI47,LEN("Is-MB"))="Is-MB"</formula>
    </cfRule>
  </conditionalFormatting>
  <conditionalFormatting sqref="AI47">
    <cfRule type="beginsWith" dxfId="914" priority="1004" operator="beginsWith" text="Y">
      <formula>LEFT(AI47,LEN("Y"))="Y"</formula>
    </cfRule>
  </conditionalFormatting>
  <conditionalFormatting sqref="AI47">
    <cfRule type="beginsWith" dxfId="913" priority="1003" operator="beginsWith" text="M-FP">
      <formula>LEFT(AI47,LEN("M-FP"))="M-FP"</formula>
    </cfRule>
  </conditionalFormatting>
  <conditionalFormatting sqref="AI47">
    <cfRule type="beginsWith" dxfId="912" priority="1002" operator="beginsWith" text="ME">
      <formula>LEFT(AI47,LEN("ME"))="ME"</formula>
    </cfRule>
  </conditionalFormatting>
  <conditionalFormatting sqref="AI47">
    <cfRule type="beginsWith" dxfId="911" priority="1001" operator="beginsWith" text="ME-TL">
      <formula>LEFT(AI47,LEN("ME-TL"))="ME-TL"</formula>
    </cfRule>
  </conditionalFormatting>
  <conditionalFormatting sqref="AI47">
    <cfRule type="beginsWith" dxfId="910" priority="1000" operator="beginsWith" text="M-W">
      <formula>LEFT(AI47,LEN("M-W"))="M-W"</formula>
    </cfRule>
  </conditionalFormatting>
  <conditionalFormatting sqref="AP47">
    <cfRule type="beginsWith" dxfId="909" priority="999" operator="beginsWith" text="M">
      <formula>LEFT(AP47,LEN("M"))="M"</formula>
    </cfRule>
  </conditionalFormatting>
  <conditionalFormatting sqref="AP47">
    <cfRule type="beginsWith" dxfId="908" priority="998" operator="beginsWith" text="Is-MB">
      <formula>LEFT(AP47,LEN("Is-MB"))="Is-MB"</formula>
    </cfRule>
  </conditionalFormatting>
  <conditionalFormatting sqref="AP47">
    <cfRule type="beginsWith" dxfId="907" priority="997" operator="beginsWith" text="Y">
      <formula>LEFT(AP47,LEN("Y"))="Y"</formula>
    </cfRule>
  </conditionalFormatting>
  <conditionalFormatting sqref="AP47">
    <cfRule type="beginsWith" dxfId="906" priority="996" operator="beginsWith" text="M-FP">
      <formula>LEFT(AP47,LEN("M-FP"))="M-FP"</formula>
    </cfRule>
  </conditionalFormatting>
  <conditionalFormatting sqref="AP47">
    <cfRule type="beginsWith" dxfId="905" priority="995" operator="beginsWith" text="ME">
      <formula>LEFT(AP47,LEN("ME"))="ME"</formula>
    </cfRule>
  </conditionalFormatting>
  <conditionalFormatting sqref="AP47">
    <cfRule type="beginsWith" dxfId="904" priority="994" operator="beginsWith" text="ME-TL">
      <formula>LEFT(AP47,LEN("ME-TL"))="ME-TL"</formula>
    </cfRule>
  </conditionalFormatting>
  <conditionalFormatting sqref="AP47">
    <cfRule type="beginsWith" dxfId="903" priority="993" operator="beginsWith" text="M-W">
      <formula>LEFT(AP47,LEN("M-W"))="M-W"</formula>
    </cfRule>
  </conditionalFormatting>
  <conditionalFormatting sqref="AW47">
    <cfRule type="beginsWith" dxfId="902" priority="992" operator="beginsWith" text="M">
      <formula>LEFT(AW47,LEN("M"))="M"</formula>
    </cfRule>
  </conditionalFormatting>
  <conditionalFormatting sqref="AW47">
    <cfRule type="beginsWith" dxfId="901" priority="991" operator="beginsWith" text="Is-MB">
      <formula>LEFT(AW47,LEN("Is-MB"))="Is-MB"</formula>
    </cfRule>
  </conditionalFormatting>
  <conditionalFormatting sqref="AW47">
    <cfRule type="beginsWith" dxfId="900" priority="990" operator="beginsWith" text="Y">
      <formula>LEFT(AW47,LEN("Y"))="Y"</formula>
    </cfRule>
  </conditionalFormatting>
  <conditionalFormatting sqref="AW47">
    <cfRule type="beginsWith" dxfId="899" priority="989" operator="beginsWith" text="M-FP">
      <formula>LEFT(AW47,LEN("M-FP"))="M-FP"</formula>
    </cfRule>
  </conditionalFormatting>
  <conditionalFormatting sqref="AW47">
    <cfRule type="beginsWith" dxfId="898" priority="988" operator="beginsWith" text="ME">
      <formula>LEFT(AW47,LEN("ME"))="ME"</formula>
    </cfRule>
  </conditionalFormatting>
  <conditionalFormatting sqref="AW47">
    <cfRule type="beginsWith" dxfId="897" priority="987" operator="beginsWith" text="ME-TL">
      <formula>LEFT(AW47,LEN("ME-TL"))="ME-TL"</formula>
    </cfRule>
  </conditionalFormatting>
  <conditionalFormatting sqref="AW47">
    <cfRule type="beginsWith" dxfId="896" priority="986" operator="beginsWith" text="M-W">
      <formula>LEFT(AW47,LEN("M-W"))="M-W"</formula>
    </cfRule>
  </conditionalFormatting>
  <conditionalFormatting sqref="BD47">
    <cfRule type="beginsWith" dxfId="895" priority="985" operator="beginsWith" text="M">
      <formula>LEFT(BD47,LEN("M"))="M"</formula>
    </cfRule>
  </conditionalFormatting>
  <conditionalFormatting sqref="BD47">
    <cfRule type="beginsWith" dxfId="894" priority="984" operator="beginsWith" text="Is-MB">
      <formula>LEFT(BD47,LEN("Is-MB"))="Is-MB"</formula>
    </cfRule>
  </conditionalFormatting>
  <conditionalFormatting sqref="BD47">
    <cfRule type="beginsWith" dxfId="893" priority="983" operator="beginsWith" text="Y">
      <formula>LEFT(BD47,LEN("Y"))="Y"</formula>
    </cfRule>
  </conditionalFormatting>
  <conditionalFormatting sqref="BD47">
    <cfRule type="beginsWith" dxfId="892" priority="982" operator="beginsWith" text="M-FP">
      <formula>LEFT(BD47,LEN("M-FP"))="M-FP"</formula>
    </cfRule>
  </conditionalFormatting>
  <conditionalFormatting sqref="BD47">
    <cfRule type="beginsWith" dxfId="891" priority="981" operator="beginsWith" text="ME">
      <formula>LEFT(BD47,LEN("ME"))="ME"</formula>
    </cfRule>
  </conditionalFormatting>
  <conditionalFormatting sqref="BD47">
    <cfRule type="beginsWith" dxfId="890" priority="980" operator="beginsWith" text="ME-TL">
      <formula>LEFT(BD47,LEN("ME-TL"))="ME-TL"</formula>
    </cfRule>
  </conditionalFormatting>
  <conditionalFormatting sqref="BD47">
    <cfRule type="beginsWith" dxfId="889" priority="979" operator="beginsWith" text="M-W">
      <formula>LEFT(BD47,LEN("M-W"))="M-W"</formula>
    </cfRule>
  </conditionalFormatting>
  <conditionalFormatting sqref="V53">
    <cfRule type="beginsWith" dxfId="888" priority="971" operator="beginsWith" text="M">
      <formula>LEFT(V53,LEN("M"))="M"</formula>
    </cfRule>
  </conditionalFormatting>
  <conditionalFormatting sqref="V53">
    <cfRule type="beginsWith" dxfId="887" priority="970" operator="beginsWith" text="Is-MB">
      <formula>LEFT(V53,LEN("Is-MB"))="Is-MB"</formula>
    </cfRule>
  </conditionalFormatting>
  <conditionalFormatting sqref="V53">
    <cfRule type="beginsWith" dxfId="886" priority="969" operator="beginsWith" text="Y">
      <formula>LEFT(V53,LEN("Y"))="Y"</formula>
    </cfRule>
  </conditionalFormatting>
  <conditionalFormatting sqref="V53">
    <cfRule type="beginsWith" dxfId="885" priority="968" operator="beginsWith" text="M-FP">
      <formula>LEFT(V53,LEN("M-FP"))="M-FP"</formula>
    </cfRule>
  </conditionalFormatting>
  <conditionalFormatting sqref="V53">
    <cfRule type="beginsWith" dxfId="884" priority="967" operator="beginsWith" text="ME">
      <formula>LEFT(V53,LEN("ME"))="ME"</formula>
    </cfRule>
  </conditionalFormatting>
  <conditionalFormatting sqref="V53">
    <cfRule type="beginsWith" dxfId="883" priority="966" operator="beginsWith" text="ME-TL">
      <formula>LEFT(V53,LEN("ME-TL"))="ME-TL"</formula>
    </cfRule>
  </conditionalFormatting>
  <conditionalFormatting sqref="V53">
    <cfRule type="beginsWith" dxfId="882" priority="965" operator="beginsWith" text="M-W">
      <formula>LEFT(V53,LEN("M-W"))="M-W"</formula>
    </cfRule>
  </conditionalFormatting>
  <conditionalFormatting sqref="V53">
    <cfRule type="beginsWith" dxfId="881" priority="964" operator="beginsWith" text="M">
      <formula>LEFT(V53,LEN("M"))="M"</formula>
    </cfRule>
  </conditionalFormatting>
  <conditionalFormatting sqref="V53">
    <cfRule type="beginsWith" dxfId="880" priority="963" operator="beginsWith" text="Is-MB">
      <formula>LEFT(V53,LEN("Is-MB"))="Is-MB"</formula>
    </cfRule>
  </conditionalFormatting>
  <conditionalFormatting sqref="V53">
    <cfRule type="beginsWith" dxfId="879" priority="962" operator="beginsWith" text="Y">
      <formula>LEFT(V53,LEN("Y"))="Y"</formula>
    </cfRule>
  </conditionalFormatting>
  <conditionalFormatting sqref="V53">
    <cfRule type="beginsWith" dxfId="878" priority="961" operator="beginsWith" text="M-FP">
      <formula>LEFT(V53,LEN("M-FP"))="M-FP"</formula>
    </cfRule>
  </conditionalFormatting>
  <conditionalFormatting sqref="V53">
    <cfRule type="beginsWith" dxfId="877" priority="960" operator="beginsWith" text="ME">
      <formula>LEFT(V53,LEN("ME"))="ME"</formula>
    </cfRule>
  </conditionalFormatting>
  <conditionalFormatting sqref="V53">
    <cfRule type="beginsWith" dxfId="876" priority="959" operator="beginsWith" text="ME-TL">
      <formula>LEFT(V53,LEN("ME-TL"))="ME-TL"</formula>
    </cfRule>
  </conditionalFormatting>
  <conditionalFormatting sqref="V53">
    <cfRule type="beginsWith" dxfId="875" priority="958" operator="beginsWith" text="M-W">
      <formula>LEFT(V53,LEN("M-W"))="M-W"</formula>
    </cfRule>
  </conditionalFormatting>
  <conditionalFormatting sqref="V53">
    <cfRule type="beginsWith" dxfId="874" priority="957" operator="beginsWith" text="M">
      <formula>LEFT(V53,LEN("M"))="M"</formula>
    </cfRule>
  </conditionalFormatting>
  <conditionalFormatting sqref="V53">
    <cfRule type="beginsWith" dxfId="873" priority="956" operator="beginsWith" text="Is-MB">
      <formula>LEFT(V53,LEN("Is-MB"))="Is-MB"</formula>
    </cfRule>
  </conditionalFormatting>
  <conditionalFormatting sqref="V53">
    <cfRule type="beginsWith" dxfId="872" priority="955" operator="beginsWith" text="Y">
      <formula>LEFT(V53,LEN("Y"))="Y"</formula>
    </cfRule>
  </conditionalFormatting>
  <conditionalFormatting sqref="V53">
    <cfRule type="beginsWith" dxfId="871" priority="954" operator="beginsWith" text="M-FP">
      <formula>LEFT(V53,LEN("M-FP"))="M-FP"</formula>
    </cfRule>
  </conditionalFormatting>
  <conditionalFormatting sqref="V53">
    <cfRule type="beginsWith" dxfId="870" priority="953" operator="beginsWith" text="ME">
      <formula>LEFT(V53,LEN("ME"))="ME"</formula>
    </cfRule>
  </conditionalFormatting>
  <conditionalFormatting sqref="V53">
    <cfRule type="beginsWith" dxfId="869" priority="952" operator="beginsWith" text="ME-TL">
      <formula>LEFT(V53,LEN("ME-TL"))="ME-TL"</formula>
    </cfRule>
  </conditionalFormatting>
  <conditionalFormatting sqref="V53">
    <cfRule type="beginsWith" dxfId="868" priority="951" operator="beginsWith" text="M-W">
      <formula>LEFT(V53,LEN("M-W"))="M-W"</formula>
    </cfRule>
  </conditionalFormatting>
  <conditionalFormatting sqref="V53">
    <cfRule type="beginsWith" dxfId="867" priority="950" operator="beginsWith" text="M">
      <formula>LEFT(V53,LEN("M"))="M"</formula>
    </cfRule>
  </conditionalFormatting>
  <conditionalFormatting sqref="V53">
    <cfRule type="beginsWith" dxfId="866" priority="949" operator="beginsWith" text="Is-MB">
      <formula>LEFT(V53,LEN("Is-MB"))="Is-MB"</formula>
    </cfRule>
  </conditionalFormatting>
  <conditionalFormatting sqref="V53">
    <cfRule type="beginsWith" dxfId="865" priority="948" operator="beginsWith" text="Y">
      <formula>LEFT(V53,LEN("Y"))="Y"</formula>
    </cfRule>
  </conditionalFormatting>
  <conditionalFormatting sqref="V53">
    <cfRule type="beginsWith" dxfId="864" priority="947" operator="beginsWith" text="M-FP">
      <formula>LEFT(V53,LEN("M-FP"))="M-FP"</formula>
    </cfRule>
  </conditionalFormatting>
  <conditionalFormatting sqref="V53">
    <cfRule type="beginsWith" dxfId="863" priority="946" operator="beginsWith" text="ME">
      <formula>LEFT(V53,LEN("ME"))="ME"</formula>
    </cfRule>
  </conditionalFormatting>
  <conditionalFormatting sqref="V53">
    <cfRule type="beginsWith" dxfId="862" priority="945" operator="beginsWith" text="ME-TL">
      <formula>LEFT(V53,LEN("ME-TL"))="ME-TL"</formula>
    </cfRule>
  </conditionalFormatting>
  <conditionalFormatting sqref="V53">
    <cfRule type="beginsWith" dxfId="861" priority="944" operator="beginsWith" text="M-W">
      <formula>LEFT(V53,LEN("M-W"))="M-W"</formula>
    </cfRule>
  </conditionalFormatting>
  <conditionalFormatting sqref="V53">
    <cfRule type="beginsWith" dxfId="860" priority="943" operator="beginsWith" text="M">
      <formula>LEFT(V53,LEN("M"))="M"</formula>
    </cfRule>
  </conditionalFormatting>
  <conditionalFormatting sqref="V53">
    <cfRule type="beginsWith" dxfId="859" priority="942" operator="beginsWith" text="Is-MB">
      <formula>LEFT(V53,LEN("Is-MB"))="Is-MB"</formula>
    </cfRule>
  </conditionalFormatting>
  <conditionalFormatting sqref="V53">
    <cfRule type="beginsWith" dxfId="858" priority="941" operator="beginsWith" text="Y">
      <formula>LEFT(V53,LEN("Y"))="Y"</formula>
    </cfRule>
  </conditionalFormatting>
  <conditionalFormatting sqref="V53">
    <cfRule type="beginsWith" dxfId="857" priority="940" operator="beginsWith" text="M-FP">
      <formula>LEFT(V53,LEN("M-FP"))="M-FP"</formula>
    </cfRule>
  </conditionalFormatting>
  <conditionalFormatting sqref="V53">
    <cfRule type="beginsWith" dxfId="856" priority="939" operator="beginsWith" text="ME">
      <formula>LEFT(V53,LEN("ME"))="ME"</formula>
    </cfRule>
  </conditionalFormatting>
  <conditionalFormatting sqref="V53">
    <cfRule type="beginsWith" dxfId="855" priority="938" operator="beginsWith" text="ME-TL">
      <formula>LEFT(V53,LEN("ME-TL"))="ME-TL"</formula>
    </cfRule>
  </conditionalFormatting>
  <conditionalFormatting sqref="V53">
    <cfRule type="beginsWith" dxfId="854" priority="937" operator="beginsWith" text="M-W">
      <formula>LEFT(V53,LEN("M-W"))="M-W"</formula>
    </cfRule>
  </conditionalFormatting>
  <conditionalFormatting sqref="V53">
    <cfRule type="beginsWith" dxfId="853" priority="936" operator="beginsWith" text="M">
      <formula>LEFT(V53,LEN("M"))="M"</formula>
    </cfRule>
  </conditionalFormatting>
  <conditionalFormatting sqref="V53">
    <cfRule type="beginsWith" dxfId="852" priority="935" operator="beginsWith" text="Is-MB">
      <formula>LEFT(V53,LEN("Is-MB"))="Is-MB"</formula>
    </cfRule>
  </conditionalFormatting>
  <conditionalFormatting sqref="V53">
    <cfRule type="beginsWith" dxfId="851" priority="934" operator="beginsWith" text="Y">
      <formula>LEFT(V53,LEN("Y"))="Y"</formula>
    </cfRule>
  </conditionalFormatting>
  <conditionalFormatting sqref="V53">
    <cfRule type="beginsWith" dxfId="850" priority="933" operator="beginsWith" text="M-FP">
      <formula>LEFT(V53,LEN("M-FP"))="M-FP"</formula>
    </cfRule>
  </conditionalFormatting>
  <conditionalFormatting sqref="V53">
    <cfRule type="beginsWith" dxfId="849" priority="932" operator="beginsWith" text="ME">
      <formula>LEFT(V53,LEN("ME"))="ME"</formula>
    </cfRule>
  </conditionalFormatting>
  <conditionalFormatting sqref="V53">
    <cfRule type="beginsWith" dxfId="848" priority="931" operator="beginsWith" text="ME-TL">
      <formula>LEFT(V53,LEN("ME-TL"))="ME-TL"</formula>
    </cfRule>
  </conditionalFormatting>
  <conditionalFormatting sqref="V53">
    <cfRule type="beginsWith" dxfId="847" priority="930" operator="beginsWith" text="M-W">
      <formula>LEFT(V53,LEN("M-W"))="M-W"</formula>
    </cfRule>
  </conditionalFormatting>
  <conditionalFormatting sqref="V53">
    <cfRule type="beginsWith" dxfId="846" priority="929" operator="beginsWith" text="M">
      <formula>LEFT(V53,LEN("M"))="M"</formula>
    </cfRule>
  </conditionalFormatting>
  <conditionalFormatting sqref="V53">
    <cfRule type="beginsWith" dxfId="845" priority="928" operator="beginsWith" text="Is-MB">
      <formula>LEFT(V53,LEN("Is-MB"))="Is-MB"</formula>
    </cfRule>
  </conditionalFormatting>
  <conditionalFormatting sqref="V53">
    <cfRule type="beginsWith" dxfId="844" priority="927" operator="beginsWith" text="Y">
      <formula>LEFT(V53,LEN("Y"))="Y"</formula>
    </cfRule>
  </conditionalFormatting>
  <conditionalFormatting sqref="V53">
    <cfRule type="beginsWith" dxfId="843" priority="926" operator="beginsWith" text="M-FP">
      <formula>LEFT(V53,LEN("M-FP"))="M-FP"</formula>
    </cfRule>
  </conditionalFormatting>
  <conditionalFormatting sqref="V53">
    <cfRule type="beginsWith" dxfId="842" priority="925" operator="beginsWith" text="ME">
      <formula>LEFT(V53,LEN("ME"))="ME"</formula>
    </cfRule>
  </conditionalFormatting>
  <conditionalFormatting sqref="V53">
    <cfRule type="beginsWith" dxfId="841" priority="924" operator="beginsWith" text="ME-TL">
      <formula>LEFT(V53,LEN("ME-TL"))="ME-TL"</formula>
    </cfRule>
  </conditionalFormatting>
  <conditionalFormatting sqref="V53">
    <cfRule type="beginsWith" dxfId="840" priority="923" operator="beginsWith" text="M-W">
      <formula>LEFT(V53,LEN("M-W"))="M-W"</formula>
    </cfRule>
  </conditionalFormatting>
  <conditionalFormatting sqref="V53">
    <cfRule type="beginsWith" dxfId="839" priority="922" operator="beginsWith" text="M">
      <formula>LEFT(V53,LEN("M"))="M"</formula>
    </cfRule>
  </conditionalFormatting>
  <conditionalFormatting sqref="V53">
    <cfRule type="beginsWith" dxfId="838" priority="921" operator="beginsWith" text="Is-MB">
      <formula>LEFT(V53,LEN("Is-MB"))="Is-MB"</formula>
    </cfRule>
  </conditionalFormatting>
  <conditionalFormatting sqref="V53">
    <cfRule type="beginsWith" dxfId="837" priority="920" operator="beginsWith" text="Y">
      <formula>LEFT(V53,LEN("Y"))="Y"</formula>
    </cfRule>
  </conditionalFormatting>
  <conditionalFormatting sqref="V53">
    <cfRule type="beginsWith" dxfId="836" priority="919" operator="beginsWith" text="M-FP">
      <formula>LEFT(V53,LEN("M-FP"))="M-FP"</formula>
    </cfRule>
  </conditionalFormatting>
  <conditionalFormatting sqref="V53">
    <cfRule type="beginsWith" dxfId="835" priority="918" operator="beginsWith" text="ME">
      <formula>LEFT(V53,LEN("ME"))="ME"</formula>
    </cfRule>
  </conditionalFormatting>
  <conditionalFormatting sqref="V53">
    <cfRule type="beginsWith" dxfId="834" priority="917" operator="beginsWith" text="ME-TL">
      <formula>LEFT(V53,LEN("ME-TL"))="ME-TL"</formula>
    </cfRule>
  </conditionalFormatting>
  <conditionalFormatting sqref="V53">
    <cfRule type="beginsWith" dxfId="833" priority="916" operator="beginsWith" text="M-W">
      <formula>LEFT(V53,LEN("M-W"))="M-W"</formula>
    </cfRule>
  </conditionalFormatting>
  <conditionalFormatting sqref="W53">
    <cfRule type="beginsWith" dxfId="832" priority="915" operator="beginsWith" text="M">
      <formula>LEFT(W53,LEN("M"))="M"</formula>
    </cfRule>
  </conditionalFormatting>
  <conditionalFormatting sqref="W53">
    <cfRule type="beginsWith" dxfId="831" priority="914" operator="beginsWith" text="Is-MB">
      <formula>LEFT(W53,LEN("Is-MB"))="Is-MB"</formula>
    </cfRule>
  </conditionalFormatting>
  <conditionalFormatting sqref="W53">
    <cfRule type="beginsWith" dxfId="830" priority="913" operator="beginsWith" text="Y">
      <formula>LEFT(W53,LEN("Y"))="Y"</formula>
    </cfRule>
  </conditionalFormatting>
  <conditionalFormatting sqref="W53">
    <cfRule type="beginsWith" dxfId="829" priority="912" operator="beginsWith" text="M-FP">
      <formula>LEFT(W53,LEN("M-FP"))="M-FP"</formula>
    </cfRule>
  </conditionalFormatting>
  <conditionalFormatting sqref="W53">
    <cfRule type="beginsWith" dxfId="828" priority="911" operator="beginsWith" text="ME">
      <formula>LEFT(W53,LEN("ME"))="ME"</formula>
    </cfRule>
  </conditionalFormatting>
  <conditionalFormatting sqref="W53">
    <cfRule type="beginsWith" dxfId="827" priority="910" operator="beginsWith" text="ME-TL">
      <formula>LEFT(W53,LEN("ME-TL"))="ME-TL"</formula>
    </cfRule>
  </conditionalFormatting>
  <conditionalFormatting sqref="W53">
    <cfRule type="beginsWith" dxfId="826" priority="909" operator="beginsWith" text="M-W">
      <formula>LEFT(W53,LEN("M-W"))="M-W"</formula>
    </cfRule>
  </conditionalFormatting>
  <conditionalFormatting sqref="W53">
    <cfRule type="beginsWith" dxfId="825" priority="908" operator="beginsWith" text="M">
      <formula>LEFT(W53,LEN("M"))="M"</formula>
    </cfRule>
  </conditionalFormatting>
  <conditionalFormatting sqref="W53">
    <cfRule type="beginsWith" dxfId="824" priority="907" operator="beginsWith" text="Is-MB">
      <formula>LEFT(W53,LEN("Is-MB"))="Is-MB"</formula>
    </cfRule>
  </conditionalFormatting>
  <conditionalFormatting sqref="W53">
    <cfRule type="beginsWith" dxfId="823" priority="906" operator="beginsWith" text="Y">
      <formula>LEFT(W53,LEN("Y"))="Y"</formula>
    </cfRule>
  </conditionalFormatting>
  <conditionalFormatting sqref="W53">
    <cfRule type="beginsWith" dxfId="822" priority="905" operator="beginsWith" text="M-FP">
      <formula>LEFT(W53,LEN("M-FP"))="M-FP"</formula>
    </cfRule>
  </conditionalFormatting>
  <conditionalFormatting sqref="W53">
    <cfRule type="beginsWith" dxfId="821" priority="904" operator="beginsWith" text="ME">
      <formula>LEFT(W53,LEN("ME"))="ME"</formula>
    </cfRule>
  </conditionalFormatting>
  <conditionalFormatting sqref="W53">
    <cfRule type="beginsWith" dxfId="820" priority="903" operator="beginsWith" text="ME-TL">
      <formula>LEFT(W53,LEN("ME-TL"))="ME-TL"</formula>
    </cfRule>
  </conditionalFormatting>
  <conditionalFormatting sqref="W53">
    <cfRule type="beginsWith" dxfId="819" priority="902" operator="beginsWith" text="M-W">
      <formula>LEFT(W53,LEN("M-W"))="M-W"</formula>
    </cfRule>
  </conditionalFormatting>
  <conditionalFormatting sqref="W53">
    <cfRule type="beginsWith" dxfId="818" priority="901" operator="beginsWith" text="M">
      <formula>LEFT(W53,LEN("M"))="M"</formula>
    </cfRule>
  </conditionalFormatting>
  <conditionalFormatting sqref="W53">
    <cfRule type="beginsWith" dxfId="817" priority="900" operator="beginsWith" text="Is-MB">
      <formula>LEFT(W53,LEN("Is-MB"))="Is-MB"</formula>
    </cfRule>
  </conditionalFormatting>
  <conditionalFormatting sqref="W53">
    <cfRule type="beginsWith" dxfId="816" priority="899" operator="beginsWith" text="Y">
      <formula>LEFT(W53,LEN("Y"))="Y"</formula>
    </cfRule>
  </conditionalFormatting>
  <conditionalFormatting sqref="W53">
    <cfRule type="beginsWith" dxfId="815" priority="898" operator="beginsWith" text="M-FP">
      <formula>LEFT(W53,LEN("M-FP"))="M-FP"</formula>
    </cfRule>
  </conditionalFormatting>
  <conditionalFormatting sqref="W53">
    <cfRule type="beginsWith" dxfId="814" priority="897" operator="beginsWith" text="ME">
      <formula>LEFT(W53,LEN("ME"))="ME"</formula>
    </cfRule>
  </conditionalFormatting>
  <conditionalFormatting sqref="W53">
    <cfRule type="beginsWith" dxfId="813" priority="896" operator="beginsWith" text="ME-TL">
      <formula>LEFT(W53,LEN("ME-TL"))="ME-TL"</formula>
    </cfRule>
  </conditionalFormatting>
  <conditionalFormatting sqref="W53">
    <cfRule type="beginsWith" dxfId="812" priority="895" operator="beginsWith" text="M-W">
      <formula>LEFT(W53,LEN("M-W"))="M-W"</formula>
    </cfRule>
  </conditionalFormatting>
  <conditionalFormatting sqref="W53">
    <cfRule type="beginsWith" dxfId="811" priority="894" operator="beginsWith" text="M">
      <formula>LEFT(W53,LEN("M"))="M"</formula>
    </cfRule>
  </conditionalFormatting>
  <conditionalFormatting sqref="W53">
    <cfRule type="beginsWith" dxfId="810" priority="893" operator="beginsWith" text="Is-MB">
      <formula>LEFT(W53,LEN("Is-MB"))="Is-MB"</formula>
    </cfRule>
  </conditionalFormatting>
  <conditionalFormatting sqref="W53">
    <cfRule type="beginsWith" dxfId="809" priority="892" operator="beginsWith" text="Y">
      <formula>LEFT(W53,LEN("Y"))="Y"</formula>
    </cfRule>
  </conditionalFormatting>
  <conditionalFormatting sqref="W53">
    <cfRule type="beginsWith" dxfId="808" priority="891" operator="beginsWith" text="M-FP">
      <formula>LEFT(W53,LEN("M-FP"))="M-FP"</formula>
    </cfRule>
  </conditionalFormatting>
  <conditionalFormatting sqref="W53">
    <cfRule type="beginsWith" dxfId="807" priority="890" operator="beginsWith" text="ME">
      <formula>LEFT(W53,LEN("ME"))="ME"</formula>
    </cfRule>
  </conditionalFormatting>
  <conditionalFormatting sqref="W53">
    <cfRule type="beginsWith" dxfId="806" priority="889" operator="beginsWith" text="ME-TL">
      <formula>LEFT(W53,LEN("ME-TL"))="ME-TL"</formula>
    </cfRule>
  </conditionalFormatting>
  <conditionalFormatting sqref="W53">
    <cfRule type="beginsWith" dxfId="805" priority="888" operator="beginsWith" text="M-W">
      <formula>LEFT(W53,LEN("M-W"))="M-W"</formula>
    </cfRule>
  </conditionalFormatting>
  <conditionalFormatting sqref="W53">
    <cfRule type="beginsWith" dxfId="804" priority="887" operator="beginsWith" text="M">
      <formula>LEFT(W53,LEN("M"))="M"</formula>
    </cfRule>
  </conditionalFormatting>
  <conditionalFormatting sqref="W53">
    <cfRule type="beginsWith" dxfId="803" priority="886" operator="beginsWith" text="Is-MB">
      <formula>LEFT(W53,LEN("Is-MB"))="Is-MB"</formula>
    </cfRule>
  </conditionalFormatting>
  <conditionalFormatting sqref="W53">
    <cfRule type="beginsWith" dxfId="802" priority="885" operator="beginsWith" text="Y">
      <formula>LEFT(W53,LEN("Y"))="Y"</formula>
    </cfRule>
  </conditionalFormatting>
  <conditionalFormatting sqref="W53">
    <cfRule type="beginsWith" dxfId="801" priority="884" operator="beginsWith" text="M-FP">
      <formula>LEFT(W53,LEN("M-FP"))="M-FP"</formula>
    </cfRule>
  </conditionalFormatting>
  <conditionalFormatting sqref="W53">
    <cfRule type="beginsWith" dxfId="800" priority="883" operator="beginsWith" text="ME">
      <formula>LEFT(W53,LEN("ME"))="ME"</formula>
    </cfRule>
  </conditionalFormatting>
  <conditionalFormatting sqref="W53">
    <cfRule type="beginsWith" dxfId="799" priority="882" operator="beginsWith" text="ME-TL">
      <formula>LEFT(W53,LEN("ME-TL"))="ME-TL"</formula>
    </cfRule>
  </conditionalFormatting>
  <conditionalFormatting sqref="W53">
    <cfRule type="beginsWith" dxfId="798" priority="881" operator="beginsWith" text="M-W">
      <formula>LEFT(W53,LEN("M-W"))="M-W"</formula>
    </cfRule>
  </conditionalFormatting>
  <conditionalFormatting sqref="W53">
    <cfRule type="beginsWith" dxfId="797" priority="880" operator="beginsWith" text="M">
      <formula>LEFT(W53,LEN("M"))="M"</formula>
    </cfRule>
  </conditionalFormatting>
  <conditionalFormatting sqref="W53">
    <cfRule type="beginsWith" dxfId="796" priority="879" operator="beginsWith" text="Is-MB">
      <formula>LEFT(W53,LEN("Is-MB"))="Is-MB"</formula>
    </cfRule>
  </conditionalFormatting>
  <conditionalFormatting sqref="W53">
    <cfRule type="beginsWith" dxfId="795" priority="878" operator="beginsWith" text="Y">
      <formula>LEFT(W53,LEN("Y"))="Y"</formula>
    </cfRule>
  </conditionalFormatting>
  <conditionalFormatting sqref="W53">
    <cfRule type="beginsWith" dxfId="794" priority="877" operator="beginsWith" text="M-FP">
      <formula>LEFT(W53,LEN("M-FP"))="M-FP"</formula>
    </cfRule>
  </conditionalFormatting>
  <conditionalFormatting sqref="W53">
    <cfRule type="beginsWith" dxfId="793" priority="876" operator="beginsWith" text="ME">
      <formula>LEFT(W53,LEN("ME"))="ME"</formula>
    </cfRule>
  </conditionalFormatting>
  <conditionalFormatting sqref="W53">
    <cfRule type="beginsWith" dxfId="792" priority="875" operator="beginsWith" text="ME-TL">
      <formula>LEFT(W53,LEN("ME-TL"))="ME-TL"</formula>
    </cfRule>
  </conditionalFormatting>
  <conditionalFormatting sqref="W53">
    <cfRule type="beginsWith" dxfId="791" priority="874" operator="beginsWith" text="M-W">
      <formula>LEFT(W53,LEN("M-W"))="M-W"</formula>
    </cfRule>
  </conditionalFormatting>
  <conditionalFormatting sqref="W53">
    <cfRule type="beginsWith" dxfId="790" priority="873" operator="beginsWith" text="M">
      <formula>LEFT(W53,LEN("M"))="M"</formula>
    </cfRule>
  </conditionalFormatting>
  <conditionalFormatting sqref="W53">
    <cfRule type="beginsWith" dxfId="789" priority="872" operator="beginsWith" text="Is-MB">
      <formula>LEFT(W53,LEN("Is-MB"))="Is-MB"</formula>
    </cfRule>
  </conditionalFormatting>
  <conditionalFormatting sqref="W53">
    <cfRule type="beginsWith" dxfId="788" priority="871" operator="beginsWith" text="Y">
      <formula>LEFT(W53,LEN("Y"))="Y"</formula>
    </cfRule>
  </conditionalFormatting>
  <conditionalFormatting sqref="W53">
    <cfRule type="beginsWith" dxfId="787" priority="870" operator="beginsWith" text="M-FP">
      <formula>LEFT(W53,LEN("M-FP"))="M-FP"</formula>
    </cfRule>
  </conditionalFormatting>
  <conditionalFormatting sqref="W53">
    <cfRule type="beginsWith" dxfId="786" priority="869" operator="beginsWith" text="ME">
      <formula>LEFT(W53,LEN("ME"))="ME"</formula>
    </cfRule>
  </conditionalFormatting>
  <conditionalFormatting sqref="W53">
    <cfRule type="beginsWith" dxfId="785" priority="868" operator="beginsWith" text="ME-TL">
      <formula>LEFT(W53,LEN("ME-TL"))="ME-TL"</formula>
    </cfRule>
  </conditionalFormatting>
  <conditionalFormatting sqref="W53">
    <cfRule type="beginsWith" dxfId="784" priority="867" operator="beginsWith" text="M-W">
      <formula>LEFT(W53,LEN("M-W"))="M-W"</formula>
    </cfRule>
  </conditionalFormatting>
  <conditionalFormatting sqref="W53">
    <cfRule type="beginsWith" dxfId="783" priority="866" operator="beginsWith" text="M">
      <formula>LEFT(W53,LEN("M"))="M"</formula>
    </cfRule>
  </conditionalFormatting>
  <conditionalFormatting sqref="W53">
    <cfRule type="beginsWith" dxfId="782" priority="865" operator="beginsWith" text="Is-MB">
      <formula>LEFT(W53,LEN("Is-MB"))="Is-MB"</formula>
    </cfRule>
  </conditionalFormatting>
  <conditionalFormatting sqref="W53">
    <cfRule type="beginsWith" dxfId="781" priority="864" operator="beginsWith" text="Y">
      <formula>LEFT(W53,LEN("Y"))="Y"</formula>
    </cfRule>
  </conditionalFormatting>
  <conditionalFormatting sqref="W53">
    <cfRule type="beginsWith" dxfId="780" priority="863" operator="beginsWith" text="M-FP">
      <formula>LEFT(W53,LEN("M-FP"))="M-FP"</formula>
    </cfRule>
  </conditionalFormatting>
  <conditionalFormatting sqref="W53">
    <cfRule type="beginsWith" dxfId="779" priority="862" operator="beginsWith" text="ME">
      <formula>LEFT(W53,LEN("ME"))="ME"</formula>
    </cfRule>
  </conditionalFormatting>
  <conditionalFormatting sqref="W53">
    <cfRule type="beginsWith" dxfId="778" priority="861" operator="beginsWith" text="ME-TL">
      <formula>LEFT(W53,LEN("ME-TL"))="ME-TL"</formula>
    </cfRule>
  </conditionalFormatting>
  <conditionalFormatting sqref="W53">
    <cfRule type="beginsWith" dxfId="777" priority="860" operator="beginsWith" text="M-W">
      <formula>LEFT(W53,LEN("M-W"))="M-W"</formula>
    </cfRule>
  </conditionalFormatting>
  <conditionalFormatting sqref="V55:W55">
    <cfRule type="beginsWith" dxfId="776" priority="859" operator="beginsWith" text="M">
      <formula>LEFT(V55,LEN("M"))="M"</formula>
    </cfRule>
  </conditionalFormatting>
  <conditionalFormatting sqref="V55:W55">
    <cfRule type="beginsWith" dxfId="775" priority="858" operator="beginsWith" text="Is-MB">
      <formula>LEFT(V55,LEN("Is-MB"))="Is-MB"</formula>
    </cfRule>
  </conditionalFormatting>
  <conditionalFormatting sqref="V55:W55">
    <cfRule type="beginsWith" dxfId="774" priority="857" operator="beginsWith" text="Y">
      <formula>LEFT(V55,LEN("Y"))="Y"</formula>
    </cfRule>
  </conditionalFormatting>
  <conditionalFormatting sqref="V55:W55">
    <cfRule type="beginsWith" dxfId="773" priority="856" operator="beginsWith" text="M-FP">
      <formula>LEFT(V55,LEN("M-FP"))="M-FP"</formula>
    </cfRule>
  </conditionalFormatting>
  <conditionalFormatting sqref="V55:W55">
    <cfRule type="beginsWith" dxfId="772" priority="855" operator="beginsWith" text="ME">
      <formula>LEFT(V55,LEN("ME"))="ME"</formula>
    </cfRule>
  </conditionalFormatting>
  <conditionalFormatting sqref="V55:W55">
    <cfRule type="beginsWith" dxfId="771" priority="854" operator="beginsWith" text="ME-TL">
      <formula>LEFT(V55,LEN("ME-TL"))="ME-TL"</formula>
    </cfRule>
  </conditionalFormatting>
  <conditionalFormatting sqref="V55:W55">
    <cfRule type="beginsWith" dxfId="770" priority="853" operator="beginsWith" text="M-W">
      <formula>LEFT(V55,LEN("M-W"))="M-W"</formula>
    </cfRule>
  </conditionalFormatting>
  <conditionalFormatting sqref="V55">
    <cfRule type="beginsWith" dxfId="769" priority="852" operator="beginsWith" text="M">
      <formula>LEFT(V55,LEN("M"))="M"</formula>
    </cfRule>
  </conditionalFormatting>
  <conditionalFormatting sqref="V55">
    <cfRule type="beginsWith" dxfId="768" priority="851" operator="beginsWith" text="Is-MB">
      <formula>LEFT(V55,LEN("Is-MB"))="Is-MB"</formula>
    </cfRule>
  </conditionalFormatting>
  <conditionalFormatting sqref="V55">
    <cfRule type="beginsWith" dxfId="767" priority="850" operator="beginsWith" text="Y">
      <formula>LEFT(V55,LEN("Y"))="Y"</formula>
    </cfRule>
  </conditionalFormatting>
  <conditionalFormatting sqref="V55">
    <cfRule type="beginsWith" dxfId="766" priority="849" operator="beginsWith" text="M-FP">
      <formula>LEFT(V55,LEN("M-FP"))="M-FP"</formula>
    </cfRule>
  </conditionalFormatting>
  <conditionalFormatting sqref="V55">
    <cfRule type="beginsWith" dxfId="765" priority="848" operator="beginsWith" text="ME">
      <formula>LEFT(V55,LEN("ME"))="ME"</formula>
    </cfRule>
  </conditionalFormatting>
  <conditionalFormatting sqref="V55">
    <cfRule type="beginsWith" dxfId="764" priority="847" operator="beginsWith" text="ME-TL">
      <formula>LEFT(V55,LEN("ME-TL"))="ME-TL"</formula>
    </cfRule>
  </conditionalFormatting>
  <conditionalFormatting sqref="V55">
    <cfRule type="beginsWith" dxfId="763" priority="846" operator="beginsWith" text="M-W">
      <formula>LEFT(V55,LEN("M-W"))="M-W"</formula>
    </cfRule>
  </conditionalFormatting>
  <conditionalFormatting sqref="V55">
    <cfRule type="beginsWith" dxfId="762" priority="845" operator="beginsWith" text="M">
      <formula>LEFT(V55,LEN("M"))="M"</formula>
    </cfRule>
  </conditionalFormatting>
  <conditionalFormatting sqref="V55">
    <cfRule type="beginsWith" dxfId="761" priority="844" operator="beginsWith" text="Is-MB">
      <formula>LEFT(V55,LEN("Is-MB"))="Is-MB"</formula>
    </cfRule>
  </conditionalFormatting>
  <conditionalFormatting sqref="V55">
    <cfRule type="beginsWith" dxfId="760" priority="843" operator="beginsWith" text="Y">
      <formula>LEFT(V55,LEN("Y"))="Y"</formula>
    </cfRule>
  </conditionalFormatting>
  <conditionalFormatting sqref="V55">
    <cfRule type="beginsWith" dxfId="759" priority="842" operator="beginsWith" text="M-FP">
      <formula>LEFT(V55,LEN("M-FP"))="M-FP"</formula>
    </cfRule>
  </conditionalFormatting>
  <conditionalFormatting sqref="V55">
    <cfRule type="beginsWith" dxfId="758" priority="841" operator="beginsWith" text="ME">
      <formula>LEFT(V55,LEN("ME"))="ME"</formula>
    </cfRule>
  </conditionalFormatting>
  <conditionalFormatting sqref="V55">
    <cfRule type="beginsWith" dxfId="757" priority="840" operator="beginsWith" text="ME-TL">
      <formula>LEFT(V55,LEN("ME-TL"))="ME-TL"</formula>
    </cfRule>
  </conditionalFormatting>
  <conditionalFormatting sqref="V55">
    <cfRule type="beginsWith" dxfId="756" priority="839" operator="beginsWith" text="M-W">
      <formula>LEFT(V55,LEN("M-W"))="M-W"</formula>
    </cfRule>
  </conditionalFormatting>
  <conditionalFormatting sqref="V55">
    <cfRule type="beginsWith" dxfId="755" priority="838" operator="beginsWith" text="M">
      <formula>LEFT(V55,LEN("M"))="M"</formula>
    </cfRule>
  </conditionalFormatting>
  <conditionalFormatting sqref="V55">
    <cfRule type="beginsWith" dxfId="754" priority="837" operator="beginsWith" text="Is-MB">
      <formula>LEFT(V55,LEN("Is-MB"))="Is-MB"</formula>
    </cfRule>
  </conditionalFormatting>
  <conditionalFormatting sqref="V55">
    <cfRule type="beginsWith" dxfId="753" priority="836" operator="beginsWith" text="Y">
      <formula>LEFT(V55,LEN("Y"))="Y"</formula>
    </cfRule>
  </conditionalFormatting>
  <conditionalFormatting sqref="V55">
    <cfRule type="beginsWith" dxfId="752" priority="835" operator="beginsWith" text="M-FP">
      <formula>LEFT(V55,LEN("M-FP"))="M-FP"</formula>
    </cfRule>
  </conditionalFormatting>
  <conditionalFormatting sqref="V55">
    <cfRule type="beginsWith" dxfId="751" priority="834" operator="beginsWith" text="ME">
      <formula>LEFT(V55,LEN("ME"))="ME"</formula>
    </cfRule>
  </conditionalFormatting>
  <conditionalFormatting sqref="V55">
    <cfRule type="beginsWith" dxfId="750" priority="833" operator="beginsWith" text="ME-TL">
      <formula>LEFT(V55,LEN("ME-TL"))="ME-TL"</formula>
    </cfRule>
  </conditionalFormatting>
  <conditionalFormatting sqref="V55">
    <cfRule type="beginsWith" dxfId="749" priority="832" operator="beginsWith" text="M-W">
      <formula>LEFT(V55,LEN("M-W"))="M-W"</formula>
    </cfRule>
  </conditionalFormatting>
  <conditionalFormatting sqref="V55">
    <cfRule type="beginsWith" dxfId="748" priority="831" operator="beginsWith" text="M">
      <formula>LEFT(V55,LEN("M"))="M"</formula>
    </cfRule>
  </conditionalFormatting>
  <conditionalFormatting sqref="V55">
    <cfRule type="beginsWith" dxfId="747" priority="830" operator="beginsWith" text="Is-MB">
      <formula>LEFT(V55,LEN("Is-MB"))="Is-MB"</formula>
    </cfRule>
  </conditionalFormatting>
  <conditionalFormatting sqref="V55">
    <cfRule type="beginsWith" dxfId="746" priority="829" operator="beginsWith" text="Y">
      <formula>LEFT(V55,LEN("Y"))="Y"</formula>
    </cfRule>
  </conditionalFormatting>
  <conditionalFormatting sqref="V55">
    <cfRule type="beginsWith" dxfId="745" priority="828" operator="beginsWith" text="M-FP">
      <formula>LEFT(V55,LEN("M-FP"))="M-FP"</formula>
    </cfRule>
  </conditionalFormatting>
  <conditionalFormatting sqref="V55">
    <cfRule type="beginsWith" dxfId="744" priority="827" operator="beginsWith" text="ME">
      <formula>LEFT(V55,LEN("ME"))="ME"</formula>
    </cfRule>
  </conditionalFormatting>
  <conditionalFormatting sqref="V55">
    <cfRule type="beginsWith" dxfId="743" priority="826" operator="beginsWith" text="ME-TL">
      <formula>LEFT(V55,LEN("ME-TL"))="ME-TL"</formula>
    </cfRule>
  </conditionalFormatting>
  <conditionalFormatting sqref="V55">
    <cfRule type="beginsWith" dxfId="742" priority="825" operator="beginsWith" text="M-W">
      <formula>LEFT(V55,LEN("M-W"))="M-W"</formula>
    </cfRule>
  </conditionalFormatting>
  <conditionalFormatting sqref="V55">
    <cfRule type="beginsWith" dxfId="741" priority="824" operator="beginsWith" text="M">
      <formula>LEFT(V55,LEN("M"))="M"</formula>
    </cfRule>
  </conditionalFormatting>
  <conditionalFormatting sqref="V55">
    <cfRule type="beginsWith" dxfId="740" priority="823" operator="beginsWith" text="Is-MB">
      <formula>LEFT(V55,LEN("Is-MB"))="Is-MB"</formula>
    </cfRule>
  </conditionalFormatting>
  <conditionalFormatting sqref="V55">
    <cfRule type="beginsWith" dxfId="739" priority="822" operator="beginsWith" text="Y">
      <formula>LEFT(V55,LEN("Y"))="Y"</formula>
    </cfRule>
  </conditionalFormatting>
  <conditionalFormatting sqref="V55">
    <cfRule type="beginsWith" dxfId="738" priority="821" operator="beginsWith" text="M-FP">
      <formula>LEFT(V55,LEN("M-FP"))="M-FP"</formula>
    </cfRule>
  </conditionalFormatting>
  <conditionalFormatting sqref="V55">
    <cfRule type="beginsWith" dxfId="737" priority="820" operator="beginsWith" text="ME">
      <formula>LEFT(V55,LEN("ME"))="ME"</formula>
    </cfRule>
  </conditionalFormatting>
  <conditionalFormatting sqref="V55">
    <cfRule type="beginsWith" dxfId="736" priority="819" operator="beginsWith" text="ME-TL">
      <formula>LEFT(V55,LEN("ME-TL"))="ME-TL"</formula>
    </cfRule>
  </conditionalFormatting>
  <conditionalFormatting sqref="V55">
    <cfRule type="beginsWith" dxfId="735" priority="818" operator="beginsWith" text="M-W">
      <formula>LEFT(V55,LEN("M-W"))="M-W"</formula>
    </cfRule>
  </conditionalFormatting>
  <conditionalFormatting sqref="V55">
    <cfRule type="beginsWith" dxfId="734" priority="817" operator="beginsWith" text="M">
      <formula>LEFT(V55,LEN("M"))="M"</formula>
    </cfRule>
  </conditionalFormatting>
  <conditionalFormatting sqref="V55">
    <cfRule type="beginsWith" dxfId="733" priority="816" operator="beginsWith" text="Is-MB">
      <formula>LEFT(V55,LEN("Is-MB"))="Is-MB"</formula>
    </cfRule>
  </conditionalFormatting>
  <conditionalFormatting sqref="V55">
    <cfRule type="beginsWith" dxfId="732" priority="815" operator="beginsWith" text="Y">
      <formula>LEFT(V55,LEN("Y"))="Y"</formula>
    </cfRule>
  </conditionalFormatting>
  <conditionalFormatting sqref="V55">
    <cfRule type="beginsWith" dxfId="731" priority="814" operator="beginsWith" text="M-FP">
      <formula>LEFT(V55,LEN("M-FP"))="M-FP"</formula>
    </cfRule>
  </conditionalFormatting>
  <conditionalFormatting sqref="V55">
    <cfRule type="beginsWith" dxfId="730" priority="813" operator="beginsWith" text="ME">
      <formula>LEFT(V55,LEN("ME"))="ME"</formula>
    </cfRule>
  </conditionalFormatting>
  <conditionalFormatting sqref="V55">
    <cfRule type="beginsWith" dxfId="729" priority="812" operator="beginsWith" text="ME-TL">
      <formula>LEFT(V55,LEN("ME-TL"))="ME-TL"</formula>
    </cfRule>
  </conditionalFormatting>
  <conditionalFormatting sqref="V55">
    <cfRule type="beginsWith" dxfId="728" priority="811" operator="beginsWith" text="M-W">
      <formula>LEFT(V55,LEN("M-W"))="M-W"</formula>
    </cfRule>
  </conditionalFormatting>
  <conditionalFormatting sqref="V55">
    <cfRule type="beginsWith" dxfId="727" priority="810" operator="beginsWith" text="M">
      <formula>LEFT(V55,LEN("M"))="M"</formula>
    </cfRule>
  </conditionalFormatting>
  <conditionalFormatting sqref="V55">
    <cfRule type="beginsWith" dxfId="726" priority="809" operator="beginsWith" text="Is-MB">
      <formula>LEFT(V55,LEN("Is-MB"))="Is-MB"</formula>
    </cfRule>
  </conditionalFormatting>
  <conditionalFormatting sqref="V55">
    <cfRule type="beginsWith" dxfId="725" priority="808" operator="beginsWith" text="Y">
      <formula>LEFT(V55,LEN("Y"))="Y"</formula>
    </cfRule>
  </conditionalFormatting>
  <conditionalFormatting sqref="V55">
    <cfRule type="beginsWith" dxfId="724" priority="807" operator="beginsWith" text="M-FP">
      <formula>LEFT(V55,LEN("M-FP"))="M-FP"</formula>
    </cfRule>
  </conditionalFormatting>
  <conditionalFormatting sqref="V55">
    <cfRule type="beginsWith" dxfId="723" priority="806" operator="beginsWith" text="ME">
      <formula>LEFT(V55,LEN("ME"))="ME"</formula>
    </cfRule>
  </conditionalFormatting>
  <conditionalFormatting sqref="V55">
    <cfRule type="beginsWith" dxfId="722" priority="805" operator="beginsWith" text="ME-TL">
      <formula>LEFT(V55,LEN("ME-TL"))="ME-TL"</formula>
    </cfRule>
  </conditionalFormatting>
  <conditionalFormatting sqref="V55">
    <cfRule type="beginsWith" dxfId="721" priority="804" operator="beginsWith" text="M-W">
      <formula>LEFT(V55,LEN("M-W"))="M-W"</formula>
    </cfRule>
  </conditionalFormatting>
  <conditionalFormatting sqref="V55">
    <cfRule type="beginsWith" dxfId="720" priority="803" operator="beginsWith" text="M">
      <formula>LEFT(V55,LEN("M"))="M"</formula>
    </cfRule>
  </conditionalFormatting>
  <conditionalFormatting sqref="V55">
    <cfRule type="beginsWith" dxfId="719" priority="802" operator="beginsWith" text="Is-MB">
      <formula>LEFT(V55,LEN("Is-MB"))="Is-MB"</formula>
    </cfRule>
  </conditionalFormatting>
  <conditionalFormatting sqref="V55">
    <cfRule type="beginsWith" dxfId="718" priority="801" operator="beginsWith" text="Y">
      <formula>LEFT(V55,LEN("Y"))="Y"</formula>
    </cfRule>
  </conditionalFormatting>
  <conditionalFormatting sqref="V55">
    <cfRule type="beginsWith" dxfId="717" priority="800" operator="beginsWith" text="M-FP">
      <formula>LEFT(V55,LEN("M-FP"))="M-FP"</formula>
    </cfRule>
  </conditionalFormatting>
  <conditionalFormatting sqref="V55">
    <cfRule type="beginsWith" dxfId="716" priority="799" operator="beginsWith" text="ME">
      <formula>LEFT(V55,LEN("ME"))="ME"</formula>
    </cfRule>
  </conditionalFormatting>
  <conditionalFormatting sqref="V55">
    <cfRule type="beginsWith" dxfId="715" priority="798" operator="beginsWith" text="ME-TL">
      <formula>LEFT(V55,LEN("ME-TL"))="ME-TL"</formula>
    </cfRule>
  </conditionalFormatting>
  <conditionalFormatting sqref="V55">
    <cfRule type="beginsWith" dxfId="714" priority="797" operator="beginsWith" text="M-W">
      <formula>LEFT(V55,LEN("M-W"))="M-W"</formula>
    </cfRule>
  </conditionalFormatting>
  <conditionalFormatting sqref="W55">
    <cfRule type="beginsWith" dxfId="713" priority="796" operator="beginsWith" text="M">
      <formula>LEFT(W55,LEN("M"))="M"</formula>
    </cfRule>
  </conditionalFormatting>
  <conditionalFormatting sqref="W55">
    <cfRule type="beginsWith" dxfId="712" priority="795" operator="beginsWith" text="Is-MB">
      <formula>LEFT(W55,LEN("Is-MB"))="Is-MB"</formula>
    </cfRule>
  </conditionalFormatting>
  <conditionalFormatting sqref="W55">
    <cfRule type="beginsWith" dxfId="711" priority="794" operator="beginsWith" text="Y">
      <formula>LEFT(W55,LEN("Y"))="Y"</formula>
    </cfRule>
  </conditionalFormatting>
  <conditionalFormatting sqref="W55">
    <cfRule type="beginsWith" dxfId="710" priority="793" operator="beginsWith" text="M-FP">
      <formula>LEFT(W55,LEN("M-FP"))="M-FP"</formula>
    </cfRule>
  </conditionalFormatting>
  <conditionalFormatting sqref="W55">
    <cfRule type="beginsWith" dxfId="709" priority="792" operator="beginsWith" text="ME">
      <formula>LEFT(W55,LEN("ME"))="ME"</formula>
    </cfRule>
  </conditionalFormatting>
  <conditionalFormatting sqref="W55">
    <cfRule type="beginsWith" dxfId="708" priority="791" operator="beginsWith" text="ME-TL">
      <formula>LEFT(W55,LEN("ME-TL"))="ME-TL"</formula>
    </cfRule>
  </conditionalFormatting>
  <conditionalFormatting sqref="W55">
    <cfRule type="beginsWith" dxfId="707" priority="790" operator="beginsWith" text="M-W">
      <formula>LEFT(W55,LEN("M-W"))="M-W"</formula>
    </cfRule>
  </conditionalFormatting>
  <conditionalFormatting sqref="W55">
    <cfRule type="beginsWith" dxfId="706" priority="789" operator="beginsWith" text="M">
      <formula>LEFT(W55,LEN("M"))="M"</formula>
    </cfRule>
  </conditionalFormatting>
  <conditionalFormatting sqref="W55">
    <cfRule type="beginsWith" dxfId="705" priority="788" operator="beginsWith" text="Is-MB">
      <formula>LEFT(W55,LEN("Is-MB"))="Is-MB"</formula>
    </cfRule>
  </conditionalFormatting>
  <conditionalFormatting sqref="W55">
    <cfRule type="beginsWith" dxfId="704" priority="787" operator="beginsWith" text="Y">
      <formula>LEFT(W55,LEN("Y"))="Y"</formula>
    </cfRule>
  </conditionalFormatting>
  <conditionalFormatting sqref="W55">
    <cfRule type="beginsWith" dxfId="703" priority="786" operator="beginsWith" text="M-FP">
      <formula>LEFT(W55,LEN("M-FP"))="M-FP"</formula>
    </cfRule>
  </conditionalFormatting>
  <conditionalFormatting sqref="W55">
    <cfRule type="beginsWith" dxfId="702" priority="785" operator="beginsWith" text="ME">
      <formula>LEFT(W55,LEN("ME"))="ME"</formula>
    </cfRule>
  </conditionalFormatting>
  <conditionalFormatting sqref="W55">
    <cfRule type="beginsWith" dxfId="701" priority="784" operator="beginsWith" text="ME-TL">
      <formula>LEFT(W55,LEN("ME-TL"))="ME-TL"</formula>
    </cfRule>
  </conditionalFormatting>
  <conditionalFormatting sqref="W55">
    <cfRule type="beginsWith" dxfId="700" priority="783" operator="beginsWith" text="M-W">
      <formula>LEFT(W55,LEN("M-W"))="M-W"</formula>
    </cfRule>
  </conditionalFormatting>
  <conditionalFormatting sqref="W55">
    <cfRule type="beginsWith" dxfId="699" priority="782" operator="beginsWith" text="M">
      <formula>LEFT(W55,LEN("M"))="M"</formula>
    </cfRule>
  </conditionalFormatting>
  <conditionalFormatting sqref="W55">
    <cfRule type="beginsWith" dxfId="698" priority="781" operator="beginsWith" text="Is-MB">
      <formula>LEFT(W55,LEN("Is-MB"))="Is-MB"</formula>
    </cfRule>
  </conditionalFormatting>
  <conditionalFormatting sqref="W55">
    <cfRule type="beginsWith" dxfId="697" priority="780" operator="beginsWith" text="Y">
      <formula>LEFT(W55,LEN("Y"))="Y"</formula>
    </cfRule>
  </conditionalFormatting>
  <conditionalFormatting sqref="W55">
    <cfRule type="beginsWith" dxfId="696" priority="779" operator="beginsWith" text="M-FP">
      <formula>LEFT(W55,LEN("M-FP"))="M-FP"</formula>
    </cfRule>
  </conditionalFormatting>
  <conditionalFormatting sqref="W55">
    <cfRule type="beginsWith" dxfId="695" priority="778" operator="beginsWith" text="ME">
      <formula>LEFT(W55,LEN("ME"))="ME"</formula>
    </cfRule>
  </conditionalFormatting>
  <conditionalFormatting sqref="W55">
    <cfRule type="beginsWith" dxfId="694" priority="777" operator="beginsWith" text="ME-TL">
      <formula>LEFT(W55,LEN("ME-TL"))="ME-TL"</formula>
    </cfRule>
  </conditionalFormatting>
  <conditionalFormatting sqref="W55">
    <cfRule type="beginsWith" dxfId="693" priority="776" operator="beginsWith" text="M-W">
      <formula>LEFT(W55,LEN("M-W"))="M-W"</formula>
    </cfRule>
  </conditionalFormatting>
  <conditionalFormatting sqref="W55">
    <cfRule type="beginsWith" dxfId="692" priority="775" operator="beginsWith" text="M">
      <formula>LEFT(W55,LEN("M"))="M"</formula>
    </cfRule>
  </conditionalFormatting>
  <conditionalFormatting sqref="W55">
    <cfRule type="beginsWith" dxfId="691" priority="774" operator="beginsWith" text="Is-MB">
      <formula>LEFT(W55,LEN("Is-MB"))="Is-MB"</formula>
    </cfRule>
  </conditionalFormatting>
  <conditionalFormatting sqref="W55">
    <cfRule type="beginsWith" dxfId="690" priority="773" operator="beginsWith" text="Y">
      <formula>LEFT(W55,LEN("Y"))="Y"</formula>
    </cfRule>
  </conditionalFormatting>
  <conditionalFormatting sqref="W55">
    <cfRule type="beginsWith" dxfId="689" priority="772" operator="beginsWith" text="M-FP">
      <formula>LEFT(W55,LEN("M-FP"))="M-FP"</formula>
    </cfRule>
  </conditionalFormatting>
  <conditionalFormatting sqref="W55">
    <cfRule type="beginsWith" dxfId="688" priority="771" operator="beginsWith" text="ME">
      <formula>LEFT(W55,LEN("ME"))="ME"</formula>
    </cfRule>
  </conditionalFormatting>
  <conditionalFormatting sqref="W55">
    <cfRule type="beginsWith" dxfId="687" priority="770" operator="beginsWith" text="ME-TL">
      <formula>LEFT(W55,LEN("ME-TL"))="ME-TL"</formula>
    </cfRule>
  </conditionalFormatting>
  <conditionalFormatting sqref="W55">
    <cfRule type="beginsWith" dxfId="686" priority="769" operator="beginsWith" text="M-W">
      <formula>LEFT(W55,LEN("M-W"))="M-W"</formula>
    </cfRule>
  </conditionalFormatting>
  <conditionalFormatting sqref="W55">
    <cfRule type="beginsWith" dxfId="685" priority="768" operator="beginsWith" text="M">
      <formula>LEFT(W55,LEN("M"))="M"</formula>
    </cfRule>
  </conditionalFormatting>
  <conditionalFormatting sqref="W55">
    <cfRule type="beginsWith" dxfId="684" priority="767" operator="beginsWith" text="Is-MB">
      <formula>LEFT(W55,LEN("Is-MB"))="Is-MB"</formula>
    </cfRule>
  </conditionalFormatting>
  <conditionalFormatting sqref="W55">
    <cfRule type="beginsWith" dxfId="683" priority="766" operator="beginsWith" text="Y">
      <formula>LEFT(W55,LEN("Y"))="Y"</formula>
    </cfRule>
  </conditionalFormatting>
  <conditionalFormatting sqref="W55">
    <cfRule type="beginsWith" dxfId="682" priority="765" operator="beginsWith" text="M-FP">
      <formula>LEFT(W55,LEN("M-FP"))="M-FP"</formula>
    </cfRule>
  </conditionalFormatting>
  <conditionalFormatting sqref="W55">
    <cfRule type="beginsWith" dxfId="681" priority="764" operator="beginsWith" text="ME">
      <formula>LEFT(W55,LEN("ME"))="ME"</formula>
    </cfRule>
  </conditionalFormatting>
  <conditionalFormatting sqref="W55">
    <cfRule type="beginsWith" dxfId="680" priority="763" operator="beginsWith" text="ME-TL">
      <formula>LEFT(W55,LEN("ME-TL"))="ME-TL"</formula>
    </cfRule>
  </conditionalFormatting>
  <conditionalFormatting sqref="W55">
    <cfRule type="beginsWith" dxfId="679" priority="762" operator="beginsWith" text="M-W">
      <formula>LEFT(W55,LEN("M-W"))="M-W"</formula>
    </cfRule>
  </conditionalFormatting>
  <conditionalFormatting sqref="W55">
    <cfRule type="beginsWith" dxfId="678" priority="761" operator="beginsWith" text="M">
      <formula>LEFT(W55,LEN("M"))="M"</formula>
    </cfRule>
  </conditionalFormatting>
  <conditionalFormatting sqref="W55">
    <cfRule type="beginsWith" dxfId="677" priority="760" operator="beginsWith" text="Is-MB">
      <formula>LEFT(W55,LEN("Is-MB"))="Is-MB"</formula>
    </cfRule>
  </conditionalFormatting>
  <conditionalFormatting sqref="W55">
    <cfRule type="beginsWith" dxfId="676" priority="759" operator="beginsWith" text="Y">
      <formula>LEFT(W55,LEN("Y"))="Y"</formula>
    </cfRule>
  </conditionalFormatting>
  <conditionalFormatting sqref="W55">
    <cfRule type="beginsWith" dxfId="675" priority="758" operator="beginsWith" text="M-FP">
      <formula>LEFT(W55,LEN("M-FP"))="M-FP"</formula>
    </cfRule>
  </conditionalFormatting>
  <conditionalFormatting sqref="W55">
    <cfRule type="beginsWith" dxfId="674" priority="757" operator="beginsWith" text="ME">
      <formula>LEFT(W55,LEN("ME"))="ME"</formula>
    </cfRule>
  </conditionalFormatting>
  <conditionalFormatting sqref="W55">
    <cfRule type="beginsWith" dxfId="673" priority="756" operator="beginsWith" text="ME-TL">
      <formula>LEFT(W55,LEN("ME-TL"))="ME-TL"</formula>
    </cfRule>
  </conditionalFormatting>
  <conditionalFormatting sqref="W55">
    <cfRule type="beginsWith" dxfId="672" priority="755" operator="beginsWith" text="M-W">
      <formula>LEFT(W55,LEN("M-W"))="M-W"</formula>
    </cfRule>
  </conditionalFormatting>
  <conditionalFormatting sqref="W55">
    <cfRule type="beginsWith" dxfId="671" priority="754" operator="beginsWith" text="M">
      <formula>LEFT(W55,LEN("M"))="M"</formula>
    </cfRule>
  </conditionalFormatting>
  <conditionalFormatting sqref="W55">
    <cfRule type="beginsWith" dxfId="670" priority="753" operator="beginsWith" text="Is-MB">
      <formula>LEFT(W55,LEN("Is-MB"))="Is-MB"</formula>
    </cfRule>
  </conditionalFormatting>
  <conditionalFormatting sqref="W55">
    <cfRule type="beginsWith" dxfId="669" priority="752" operator="beginsWith" text="Y">
      <formula>LEFT(W55,LEN("Y"))="Y"</formula>
    </cfRule>
  </conditionalFormatting>
  <conditionalFormatting sqref="W55">
    <cfRule type="beginsWith" dxfId="668" priority="751" operator="beginsWith" text="M-FP">
      <formula>LEFT(W55,LEN("M-FP"))="M-FP"</formula>
    </cfRule>
  </conditionalFormatting>
  <conditionalFormatting sqref="W55">
    <cfRule type="beginsWith" dxfId="667" priority="750" operator="beginsWith" text="ME">
      <formula>LEFT(W55,LEN("ME"))="ME"</formula>
    </cfRule>
  </conditionalFormatting>
  <conditionalFormatting sqref="W55">
    <cfRule type="beginsWith" dxfId="666" priority="749" operator="beginsWith" text="ME-TL">
      <formula>LEFT(W55,LEN("ME-TL"))="ME-TL"</formula>
    </cfRule>
  </conditionalFormatting>
  <conditionalFormatting sqref="W55">
    <cfRule type="beginsWith" dxfId="665" priority="748" operator="beginsWith" text="M-W">
      <formula>LEFT(W55,LEN("M-W"))="M-W"</formula>
    </cfRule>
  </conditionalFormatting>
  <conditionalFormatting sqref="W55">
    <cfRule type="beginsWith" dxfId="664" priority="747" operator="beginsWith" text="M">
      <formula>LEFT(W55,LEN("M"))="M"</formula>
    </cfRule>
  </conditionalFormatting>
  <conditionalFormatting sqref="W55">
    <cfRule type="beginsWith" dxfId="663" priority="746" operator="beginsWith" text="Is-MB">
      <formula>LEFT(W55,LEN("Is-MB"))="Is-MB"</formula>
    </cfRule>
  </conditionalFormatting>
  <conditionalFormatting sqref="W55">
    <cfRule type="beginsWith" dxfId="662" priority="745" operator="beginsWith" text="Y">
      <formula>LEFT(W55,LEN("Y"))="Y"</formula>
    </cfRule>
  </conditionalFormatting>
  <conditionalFormatting sqref="W55">
    <cfRule type="beginsWith" dxfId="661" priority="744" operator="beginsWith" text="M-FP">
      <formula>LEFT(W55,LEN("M-FP"))="M-FP"</formula>
    </cfRule>
  </conditionalFormatting>
  <conditionalFormatting sqref="W55">
    <cfRule type="beginsWith" dxfId="660" priority="743" operator="beginsWith" text="ME">
      <formula>LEFT(W55,LEN("ME"))="ME"</formula>
    </cfRule>
  </conditionalFormatting>
  <conditionalFormatting sqref="W55">
    <cfRule type="beginsWith" dxfId="659" priority="742" operator="beginsWith" text="ME-TL">
      <formula>LEFT(W55,LEN("ME-TL"))="ME-TL"</formula>
    </cfRule>
  </conditionalFormatting>
  <conditionalFormatting sqref="W55">
    <cfRule type="beginsWith" dxfId="658" priority="741" operator="beginsWith" text="M-W">
      <formula>LEFT(W55,LEN("M-W"))="M-W"</formula>
    </cfRule>
  </conditionalFormatting>
  <conditionalFormatting sqref="V53:W53">
    <cfRule type="beginsWith" dxfId="657" priority="740" operator="beginsWith" text="M">
      <formula>LEFT(V53,LEN("M"))="M"</formula>
    </cfRule>
  </conditionalFormatting>
  <conditionalFormatting sqref="V53:W53">
    <cfRule type="beginsWith" dxfId="656" priority="739" operator="beginsWith" text="Is-MB">
      <formula>LEFT(V53,LEN("Is-MB"))="Is-MB"</formula>
    </cfRule>
  </conditionalFormatting>
  <conditionalFormatting sqref="V53:W53">
    <cfRule type="beginsWith" dxfId="655" priority="738" operator="beginsWith" text="Y">
      <formula>LEFT(V53,LEN("Y"))="Y"</formula>
    </cfRule>
  </conditionalFormatting>
  <conditionalFormatting sqref="V53:W53">
    <cfRule type="beginsWith" dxfId="654" priority="737" operator="beginsWith" text="M-FP">
      <formula>LEFT(V53,LEN("M-FP"))="M-FP"</formula>
    </cfRule>
  </conditionalFormatting>
  <conditionalFormatting sqref="V53:W53">
    <cfRule type="beginsWith" dxfId="653" priority="736" operator="beginsWith" text="ME">
      <formula>LEFT(V53,LEN("ME"))="ME"</formula>
    </cfRule>
  </conditionalFormatting>
  <conditionalFormatting sqref="V53:W53">
    <cfRule type="beginsWith" dxfId="652" priority="735" operator="beginsWith" text="ME-TL">
      <formula>LEFT(V53,LEN("ME-TL"))="ME-TL"</formula>
    </cfRule>
  </conditionalFormatting>
  <conditionalFormatting sqref="V53:W53">
    <cfRule type="beginsWith" dxfId="651" priority="734" operator="beginsWith" text="M-W">
      <formula>LEFT(V53,LEN("M-W"))="M-W"</formula>
    </cfRule>
  </conditionalFormatting>
  <conditionalFormatting sqref="AE53">
    <cfRule type="beginsWith" dxfId="650" priority="733" operator="beginsWith" text="M">
      <formula>LEFT(AE53,LEN("M"))="M"</formula>
    </cfRule>
  </conditionalFormatting>
  <conditionalFormatting sqref="AE53">
    <cfRule type="beginsWith" dxfId="649" priority="732" operator="beginsWith" text="Is-MB">
      <formula>LEFT(AE53,LEN("Is-MB"))="Is-MB"</formula>
    </cfRule>
  </conditionalFormatting>
  <conditionalFormatting sqref="AE53">
    <cfRule type="beginsWith" dxfId="648" priority="731" operator="beginsWith" text="Y">
      <formula>LEFT(AE53,LEN("Y"))="Y"</formula>
    </cfRule>
  </conditionalFormatting>
  <conditionalFormatting sqref="AE53">
    <cfRule type="beginsWith" dxfId="647" priority="730" operator="beginsWith" text="M-FP">
      <formula>LEFT(AE53,LEN("M-FP"))="M-FP"</formula>
    </cfRule>
  </conditionalFormatting>
  <conditionalFormatting sqref="AE53">
    <cfRule type="beginsWith" dxfId="646" priority="729" operator="beginsWith" text="ME">
      <formula>LEFT(AE53,LEN("ME"))="ME"</formula>
    </cfRule>
  </conditionalFormatting>
  <conditionalFormatting sqref="AE53">
    <cfRule type="beginsWith" dxfId="645" priority="728" operator="beginsWith" text="ME-TL">
      <formula>LEFT(AE53,LEN("ME-TL"))="ME-TL"</formula>
    </cfRule>
  </conditionalFormatting>
  <conditionalFormatting sqref="AE53">
    <cfRule type="beginsWith" dxfId="644" priority="727" operator="beginsWith" text="M-W">
      <formula>LEFT(AE53,LEN("M-W"))="M-W"</formula>
    </cfRule>
  </conditionalFormatting>
  <conditionalFormatting sqref="AE53">
    <cfRule type="beginsWith" dxfId="643" priority="726" operator="beginsWith" text="M">
      <formula>LEFT(AE53,LEN("M"))="M"</formula>
    </cfRule>
  </conditionalFormatting>
  <conditionalFormatting sqref="AE53">
    <cfRule type="beginsWith" dxfId="642" priority="725" operator="beginsWith" text="Is-MB">
      <formula>LEFT(AE53,LEN("Is-MB"))="Is-MB"</formula>
    </cfRule>
  </conditionalFormatting>
  <conditionalFormatting sqref="AE53">
    <cfRule type="beginsWith" dxfId="641" priority="724" operator="beginsWith" text="Y">
      <formula>LEFT(AE53,LEN("Y"))="Y"</formula>
    </cfRule>
  </conditionalFormatting>
  <conditionalFormatting sqref="AE53">
    <cfRule type="beginsWith" dxfId="640" priority="723" operator="beginsWith" text="M-FP">
      <formula>LEFT(AE53,LEN("M-FP"))="M-FP"</formula>
    </cfRule>
  </conditionalFormatting>
  <conditionalFormatting sqref="AE53">
    <cfRule type="beginsWith" dxfId="639" priority="722" operator="beginsWith" text="ME">
      <formula>LEFT(AE53,LEN("ME"))="ME"</formula>
    </cfRule>
  </conditionalFormatting>
  <conditionalFormatting sqref="AE53">
    <cfRule type="beginsWith" dxfId="638" priority="721" operator="beginsWith" text="ME-TL">
      <formula>LEFT(AE53,LEN("ME-TL"))="ME-TL"</formula>
    </cfRule>
  </conditionalFormatting>
  <conditionalFormatting sqref="AE53">
    <cfRule type="beginsWith" dxfId="637" priority="720" operator="beginsWith" text="M-W">
      <formula>LEFT(AE53,LEN("M-W"))="M-W"</formula>
    </cfRule>
  </conditionalFormatting>
  <conditionalFormatting sqref="AE53">
    <cfRule type="beginsWith" dxfId="636" priority="719" operator="beginsWith" text="M">
      <formula>LEFT(AE53,LEN("M"))="M"</formula>
    </cfRule>
  </conditionalFormatting>
  <conditionalFormatting sqref="AE53">
    <cfRule type="beginsWith" dxfId="635" priority="718" operator="beginsWith" text="Is-MB">
      <formula>LEFT(AE53,LEN("Is-MB"))="Is-MB"</formula>
    </cfRule>
  </conditionalFormatting>
  <conditionalFormatting sqref="AE53">
    <cfRule type="beginsWith" dxfId="634" priority="717" operator="beginsWith" text="Y">
      <formula>LEFT(AE53,LEN("Y"))="Y"</formula>
    </cfRule>
  </conditionalFormatting>
  <conditionalFormatting sqref="AE53">
    <cfRule type="beginsWith" dxfId="633" priority="716" operator="beginsWith" text="M-FP">
      <formula>LEFT(AE53,LEN("M-FP"))="M-FP"</formula>
    </cfRule>
  </conditionalFormatting>
  <conditionalFormatting sqref="AE53">
    <cfRule type="beginsWith" dxfId="632" priority="715" operator="beginsWith" text="ME">
      <formula>LEFT(AE53,LEN("ME"))="ME"</formula>
    </cfRule>
  </conditionalFormatting>
  <conditionalFormatting sqref="AE53">
    <cfRule type="beginsWith" dxfId="631" priority="714" operator="beginsWith" text="ME-TL">
      <formula>LEFT(AE53,LEN("ME-TL"))="ME-TL"</formula>
    </cfRule>
  </conditionalFormatting>
  <conditionalFormatting sqref="AE53">
    <cfRule type="beginsWith" dxfId="630" priority="713" operator="beginsWith" text="M-W">
      <formula>LEFT(AE53,LEN("M-W"))="M-W"</formula>
    </cfRule>
  </conditionalFormatting>
  <conditionalFormatting sqref="AE53">
    <cfRule type="beginsWith" dxfId="629" priority="712" operator="beginsWith" text="M">
      <formula>LEFT(AE53,LEN("M"))="M"</formula>
    </cfRule>
  </conditionalFormatting>
  <conditionalFormatting sqref="AE53">
    <cfRule type="beginsWith" dxfId="628" priority="711" operator="beginsWith" text="Is-MB">
      <formula>LEFT(AE53,LEN("Is-MB"))="Is-MB"</formula>
    </cfRule>
  </conditionalFormatting>
  <conditionalFormatting sqref="AE53">
    <cfRule type="beginsWith" dxfId="627" priority="710" operator="beginsWith" text="Y">
      <formula>LEFT(AE53,LEN("Y"))="Y"</formula>
    </cfRule>
  </conditionalFormatting>
  <conditionalFormatting sqref="AE53">
    <cfRule type="beginsWith" dxfId="626" priority="709" operator="beginsWith" text="M-FP">
      <formula>LEFT(AE53,LEN("M-FP"))="M-FP"</formula>
    </cfRule>
  </conditionalFormatting>
  <conditionalFormatting sqref="AE53">
    <cfRule type="beginsWith" dxfId="625" priority="708" operator="beginsWith" text="ME">
      <formula>LEFT(AE53,LEN("ME"))="ME"</formula>
    </cfRule>
  </conditionalFormatting>
  <conditionalFormatting sqref="AE53">
    <cfRule type="beginsWith" dxfId="624" priority="707" operator="beginsWith" text="ME-TL">
      <formula>LEFT(AE53,LEN("ME-TL"))="ME-TL"</formula>
    </cfRule>
  </conditionalFormatting>
  <conditionalFormatting sqref="AE53">
    <cfRule type="beginsWith" dxfId="623" priority="706" operator="beginsWith" text="M-W">
      <formula>LEFT(AE53,LEN("M-W"))="M-W"</formula>
    </cfRule>
  </conditionalFormatting>
  <conditionalFormatting sqref="W55">
    <cfRule type="beginsWith" dxfId="622" priority="705" operator="beginsWith" text="M">
      <formula>LEFT(W55,LEN("M"))="M"</formula>
    </cfRule>
  </conditionalFormatting>
  <conditionalFormatting sqref="W55">
    <cfRule type="beginsWith" dxfId="621" priority="704" operator="beginsWith" text="Is-MB">
      <formula>LEFT(W55,LEN("Is-MB"))="Is-MB"</formula>
    </cfRule>
  </conditionalFormatting>
  <conditionalFormatting sqref="W55">
    <cfRule type="beginsWith" dxfId="620" priority="703" operator="beginsWith" text="Y">
      <formula>LEFT(W55,LEN("Y"))="Y"</formula>
    </cfRule>
  </conditionalFormatting>
  <conditionalFormatting sqref="W55">
    <cfRule type="beginsWith" dxfId="619" priority="702" operator="beginsWith" text="M-FP">
      <formula>LEFT(W55,LEN("M-FP"))="M-FP"</formula>
    </cfRule>
  </conditionalFormatting>
  <conditionalFormatting sqref="W55">
    <cfRule type="beginsWith" dxfId="618" priority="701" operator="beginsWith" text="ME">
      <formula>LEFT(W55,LEN("ME"))="ME"</formula>
    </cfRule>
  </conditionalFormatting>
  <conditionalFormatting sqref="W55">
    <cfRule type="beginsWith" dxfId="617" priority="700" operator="beginsWith" text="ME-TL">
      <formula>LEFT(W55,LEN("ME-TL"))="ME-TL"</formula>
    </cfRule>
  </conditionalFormatting>
  <conditionalFormatting sqref="W55">
    <cfRule type="beginsWith" dxfId="616" priority="699" operator="beginsWith" text="M-W">
      <formula>LEFT(W55,LEN("M-W"))="M-W"</formula>
    </cfRule>
  </conditionalFormatting>
  <conditionalFormatting sqref="W55">
    <cfRule type="beginsWith" dxfId="615" priority="698" operator="beginsWith" text="M">
      <formula>LEFT(W55,LEN("M"))="M"</formula>
    </cfRule>
  </conditionalFormatting>
  <conditionalFormatting sqref="W55">
    <cfRule type="beginsWith" dxfId="614" priority="697" operator="beginsWith" text="Is-MB">
      <formula>LEFT(W55,LEN("Is-MB"))="Is-MB"</formula>
    </cfRule>
  </conditionalFormatting>
  <conditionalFormatting sqref="W55">
    <cfRule type="beginsWith" dxfId="613" priority="696" operator="beginsWith" text="Y">
      <formula>LEFT(W55,LEN("Y"))="Y"</formula>
    </cfRule>
  </conditionalFormatting>
  <conditionalFormatting sqref="W55">
    <cfRule type="beginsWith" dxfId="612" priority="695" operator="beginsWith" text="M-FP">
      <formula>LEFT(W55,LEN("M-FP"))="M-FP"</formula>
    </cfRule>
  </conditionalFormatting>
  <conditionalFormatting sqref="W55">
    <cfRule type="beginsWith" dxfId="611" priority="694" operator="beginsWith" text="ME">
      <formula>LEFT(W55,LEN("ME"))="ME"</formula>
    </cfRule>
  </conditionalFormatting>
  <conditionalFormatting sqref="W55">
    <cfRule type="beginsWith" dxfId="610" priority="693" operator="beginsWith" text="ME-TL">
      <formula>LEFT(W55,LEN("ME-TL"))="ME-TL"</formula>
    </cfRule>
  </conditionalFormatting>
  <conditionalFormatting sqref="W55">
    <cfRule type="beginsWith" dxfId="609" priority="692" operator="beginsWith" text="M-W">
      <formula>LEFT(W55,LEN("M-W"))="M-W"</formula>
    </cfRule>
  </conditionalFormatting>
  <conditionalFormatting sqref="W55">
    <cfRule type="beginsWith" dxfId="608" priority="691" operator="beginsWith" text="M">
      <formula>LEFT(W55,LEN("M"))="M"</formula>
    </cfRule>
  </conditionalFormatting>
  <conditionalFormatting sqref="W55">
    <cfRule type="beginsWith" dxfId="607" priority="690" operator="beginsWith" text="Is-MB">
      <formula>LEFT(W55,LEN("Is-MB"))="Is-MB"</formula>
    </cfRule>
  </conditionalFormatting>
  <conditionalFormatting sqref="W55">
    <cfRule type="beginsWith" dxfId="606" priority="689" operator="beginsWith" text="Y">
      <formula>LEFT(W55,LEN("Y"))="Y"</formula>
    </cfRule>
  </conditionalFormatting>
  <conditionalFormatting sqref="W55">
    <cfRule type="beginsWith" dxfId="605" priority="688" operator="beginsWith" text="M-FP">
      <formula>LEFT(W55,LEN("M-FP"))="M-FP"</formula>
    </cfRule>
  </conditionalFormatting>
  <conditionalFormatting sqref="W55">
    <cfRule type="beginsWith" dxfId="604" priority="687" operator="beginsWith" text="ME">
      <formula>LEFT(W55,LEN("ME"))="ME"</formula>
    </cfRule>
  </conditionalFormatting>
  <conditionalFormatting sqref="W55">
    <cfRule type="beginsWith" dxfId="603" priority="686" operator="beginsWith" text="ME-TL">
      <formula>LEFT(W55,LEN("ME-TL"))="ME-TL"</formula>
    </cfRule>
  </conditionalFormatting>
  <conditionalFormatting sqref="W55">
    <cfRule type="beginsWith" dxfId="602" priority="685" operator="beginsWith" text="M-W">
      <formula>LEFT(W55,LEN("M-W"))="M-W"</formula>
    </cfRule>
  </conditionalFormatting>
  <conditionalFormatting sqref="W55">
    <cfRule type="beginsWith" dxfId="601" priority="684" operator="beginsWith" text="M">
      <formula>LEFT(W55,LEN("M"))="M"</formula>
    </cfRule>
  </conditionalFormatting>
  <conditionalFormatting sqref="W55">
    <cfRule type="beginsWith" dxfId="600" priority="683" operator="beginsWith" text="Is-MB">
      <formula>LEFT(W55,LEN("Is-MB"))="Is-MB"</formula>
    </cfRule>
  </conditionalFormatting>
  <conditionalFormatting sqref="W55">
    <cfRule type="beginsWith" dxfId="599" priority="682" operator="beginsWith" text="Y">
      <formula>LEFT(W55,LEN("Y"))="Y"</formula>
    </cfRule>
  </conditionalFormatting>
  <conditionalFormatting sqref="W55">
    <cfRule type="beginsWith" dxfId="598" priority="681" operator="beginsWith" text="M-FP">
      <formula>LEFT(W55,LEN("M-FP"))="M-FP"</formula>
    </cfRule>
  </conditionalFormatting>
  <conditionalFormatting sqref="W55">
    <cfRule type="beginsWith" dxfId="597" priority="680" operator="beginsWith" text="ME">
      <formula>LEFT(W55,LEN("ME"))="ME"</formula>
    </cfRule>
  </conditionalFormatting>
  <conditionalFormatting sqref="W55">
    <cfRule type="beginsWith" dxfId="596" priority="679" operator="beginsWith" text="ME-TL">
      <formula>LEFT(W55,LEN("ME-TL"))="ME-TL"</formula>
    </cfRule>
  </conditionalFormatting>
  <conditionalFormatting sqref="W55">
    <cfRule type="beginsWith" dxfId="595" priority="678" operator="beginsWith" text="M-W">
      <formula>LEFT(W55,LEN("M-W"))="M-W"</formula>
    </cfRule>
  </conditionalFormatting>
  <conditionalFormatting sqref="W55">
    <cfRule type="beginsWith" dxfId="594" priority="677" operator="beginsWith" text="M">
      <formula>LEFT(W55,LEN("M"))="M"</formula>
    </cfRule>
  </conditionalFormatting>
  <conditionalFormatting sqref="W55">
    <cfRule type="beginsWith" dxfId="593" priority="676" operator="beginsWith" text="Is-MB">
      <formula>LEFT(W55,LEN("Is-MB"))="Is-MB"</formula>
    </cfRule>
  </conditionalFormatting>
  <conditionalFormatting sqref="W55">
    <cfRule type="beginsWith" dxfId="592" priority="675" operator="beginsWith" text="Y">
      <formula>LEFT(W55,LEN("Y"))="Y"</formula>
    </cfRule>
  </conditionalFormatting>
  <conditionalFormatting sqref="W55">
    <cfRule type="beginsWith" dxfId="591" priority="674" operator="beginsWith" text="M-FP">
      <formula>LEFT(W55,LEN("M-FP"))="M-FP"</formula>
    </cfRule>
  </conditionalFormatting>
  <conditionalFormatting sqref="W55">
    <cfRule type="beginsWith" dxfId="590" priority="673" operator="beginsWith" text="ME">
      <formula>LEFT(W55,LEN("ME"))="ME"</formula>
    </cfRule>
  </conditionalFormatting>
  <conditionalFormatting sqref="W55">
    <cfRule type="beginsWith" dxfId="589" priority="672" operator="beginsWith" text="ME-TL">
      <formula>LEFT(W55,LEN("ME-TL"))="ME-TL"</formula>
    </cfRule>
  </conditionalFormatting>
  <conditionalFormatting sqref="W55">
    <cfRule type="beginsWith" dxfId="588" priority="671" operator="beginsWith" text="M-W">
      <formula>LEFT(W55,LEN("M-W"))="M-W"</formula>
    </cfRule>
  </conditionalFormatting>
  <conditionalFormatting sqref="W55">
    <cfRule type="beginsWith" dxfId="587" priority="670" operator="beginsWith" text="M">
      <formula>LEFT(W55,LEN("M"))="M"</formula>
    </cfRule>
  </conditionalFormatting>
  <conditionalFormatting sqref="W55">
    <cfRule type="beginsWith" dxfId="586" priority="669" operator="beginsWith" text="Is-MB">
      <formula>LEFT(W55,LEN("Is-MB"))="Is-MB"</formula>
    </cfRule>
  </conditionalFormatting>
  <conditionalFormatting sqref="W55">
    <cfRule type="beginsWith" dxfId="585" priority="668" operator="beginsWith" text="Y">
      <formula>LEFT(W55,LEN("Y"))="Y"</formula>
    </cfRule>
  </conditionalFormatting>
  <conditionalFormatting sqref="W55">
    <cfRule type="beginsWith" dxfId="584" priority="667" operator="beginsWith" text="M-FP">
      <formula>LEFT(W55,LEN("M-FP"))="M-FP"</formula>
    </cfRule>
  </conditionalFormatting>
  <conditionalFormatting sqref="W55">
    <cfRule type="beginsWith" dxfId="583" priority="666" operator="beginsWith" text="ME">
      <formula>LEFT(W55,LEN("ME"))="ME"</formula>
    </cfRule>
  </conditionalFormatting>
  <conditionalFormatting sqref="W55">
    <cfRule type="beginsWith" dxfId="582" priority="665" operator="beginsWith" text="ME-TL">
      <formula>LEFT(W55,LEN("ME-TL"))="ME-TL"</formula>
    </cfRule>
  </conditionalFormatting>
  <conditionalFormatting sqref="W55">
    <cfRule type="beginsWith" dxfId="581" priority="664" operator="beginsWith" text="M-W">
      <formula>LEFT(W55,LEN("M-W"))="M-W"</formula>
    </cfRule>
  </conditionalFormatting>
  <conditionalFormatting sqref="W55">
    <cfRule type="beginsWith" dxfId="580" priority="663" operator="beginsWith" text="M">
      <formula>LEFT(W55,LEN("M"))="M"</formula>
    </cfRule>
  </conditionalFormatting>
  <conditionalFormatting sqref="W55">
    <cfRule type="beginsWith" dxfId="579" priority="662" operator="beginsWith" text="Is-MB">
      <formula>LEFT(W55,LEN("Is-MB"))="Is-MB"</formula>
    </cfRule>
  </conditionalFormatting>
  <conditionalFormatting sqref="W55">
    <cfRule type="beginsWith" dxfId="578" priority="661" operator="beginsWith" text="Y">
      <formula>LEFT(W55,LEN("Y"))="Y"</formula>
    </cfRule>
  </conditionalFormatting>
  <conditionalFormatting sqref="W55">
    <cfRule type="beginsWith" dxfId="577" priority="660" operator="beginsWith" text="M-FP">
      <formula>LEFT(W55,LEN("M-FP"))="M-FP"</formula>
    </cfRule>
  </conditionalFormatting>
  <conditionalFormatting sqref="W55">
    <cfRule type="beginsWith" dxfId="576" priority="659" operator="beginsWith" text="ME">
      <formula>LEFT(W55,LEN("ME"))="ME"</formula>
    </cfRule>
  </conditionalFormatting>
  <conditionalFormatting sqref="W55">
    <cfRule type="beginsWith" dxfId="575" priority="658" operator="beginsWith" text="ME-TL">
      <formula>LEFT(W55,LEN("ME-TL"))="ME-TL"</formula>
    </cfRule>
  </conditionalFormatting>
  <conditionalFormatting sqref="W55">
    <cfRule type="beginsWith" dxfId="574" priority="657" operator="beginsWith" text="M-W">
      <formula>LEFT(W55,LEN("M-W"))="M-W"</formula>
    </cfRule>
  </conditionalFormatting>
  <conditionalFormatting sqref="W55">
    <cfRule type="beginsWith" dxfId="573" priority="656" operator="beginsWith" text="M">
      <formula>LEFT(W55,LEN("M"))="M"</formula>
    </cfRule>
  </conditionalFormatting>
  <conditionalFormatting sqref="W55">
    <cfRule type="beginsWith" dxfId="572" priority="655" operator="beginsWith" text="Is-MB">
      <formula>LEFT(W55,LEN("Is-MB"))="Is-MB"</formula>
    </cfRule>
  </conditionalFormatting>
  <conditionalFormatting sqref="W55">
    <cfRule type="beginsWith" dxfId="571" priority="654" operator="beginsWith" text="Y">
      <formula>LEFT(W55,LEN("Y"))="Y"</formula>
    </cfRule>
  </conditionalFormatting>
  <conditionalFormatting sqref="W55">
    <cfRule type="beginsWith" dxfId="570" priority="653" operator="beginsWith" text="M-FP">
      <formula>LEFT(W55,LEN("M-FP"))="M-FP"</formula>
    </cfRule>
  </conditionalFormatting>
  <conditionalFormatting sqref="W55">
    <cfRule type="beginsWith" dxfId="569" priority="652" operator="beginsWith" text="ME">
      <formula>LEFT(W55,LEN("ME"))="ME"</formula>
    </cfRule>
  </conditionalFormatting>
  <conditionalFormatting sqref="W55">
    <cfRule type="beginsWith" dxfId="568" priority="651" operator="beginsWith" text="ME-TL">
      <formula>LEFT(W55,LEN("ME-TL"))="ME-TL"</formula>
    </cfRule>
  </conditionalFormatting>
  <conditionalFormatting sqref="W55">
    <cfRule type="beginsWith" dxfId="567" priority="650" operator="beginsWith" text="M-W">
      <formula>LEFT(W55,LEN("M-W"))="M-W"</formula>
    </cfRule>
  </conditionalFormatting>
  <conditionalFormatting sqref="W55">
    <cfRule type="beginsWith" dxfId="566" priority="649" operator="beginsWith" text="M">
      <formula>LEFT(W55,LEN("M"))="M"</formula>
    </cfRule>
  </conditionalFormatting>
  <conditionalFormatting sqref="W55">
    <cfRule type="beginsWith" dxfId="565" priority="648" operator="beginsWith" text="Is-MB">
      <formula>LEFT(W55,LEN("Is-MB"))="Is-MB"</formula>
    </cfRule>
  </conditionalFormatting>
  <conditionalFormatting sqref="W55">
    <cfRule type="beginsWith" dxfId="564" priority="647" operator="beginsWith" text="Y">
      <formula>LEFT(W55,LEN("Y"))="Y"</formula>
    </cfRule>
  </conditionalFormatting>
  <conditionalFormatting sqref="W55">
    <cfRule type="beginsWith" dxfId="563" priority="646" operator="beginsWith" text="M-FP">
      <formula>LEFT(W55,LEN("M-FP"))="M-FP"</formula>
    </cfRule>
  </conditionalFormatting>
  <conditionalFormatting sqref="W55">
    <cfRule type="beginsWith" dxfId="562" priority="645" operator="beginsWith" text="ME">
      <formula>LEFT(W55,LEN("ME"))="ME"</formula>
    </cfRule>
  </conditionalFormatting>
  <conditionalFormatting sqref="W55">
    <cfRule type="beginsWith" dxfId="561" priority="644" operator="beginsWith" text="ME-TL">
      <formula>LEFT(W55,LEN("ME-TL"))="ME-TL"</formula>
    </cfRule>
  </conditionalFormatting>
  <conditionalFormatting sqref="W55">
    <cfRule type="beginsWith" dxfId="560" priority="643" operator="beginsWith" text="M-W">
      <formula>LEFT(W55,LEN("M-W"))="M-W"</formula>
    </cfRule>
  </conditionalFormatting>
  <conditionalFormatting sqref="W55">
    <cfRule type="beginsWith" dxfId="559" priority="642" operator="beginsWith" text="M">
      <formula>LEFT(W55,LEN("M"))="M"</formula>
    </cfRule>
  </conditionalFormatting>
  <conditionalFormatting sqref="W55">
    <cfRule type="beginsWith" dxfId="558" priority="641" operator="beginsWith" text="Is-MB">
      <formula>LEFT(W55,LEN("Is-MB"))="Is-MB"</formula>
    </cfRule>
  </conditionalFormatting>
  <conditionalFormatting sqref="W55">
    <cfRule type="beginsWith" dxfId="557" priority="640" operator="beginsWith" text="Y">
      <formula>LEFT(W55,LEN("Y"))="Y"</formula>
    </cfRule>
  </conditionalFormatting>
  <conditionalFormatting sqref="W55">
    <cfRule type="beginsWith" dxfId="556" priority="639" operator="beginsWith" text="M-FP">
      <formula>LEFT(W55,LEN("M-FP"))="M-FP"</formula>
    </cfRule>
  </conditionalFormatting>
  <conditionalFormatting sqref="W55">
    <cfRule type="beginsWith" dxfId="555" priority="638" operator="beginsWith" text="ME">
      <formula>LEFT(W55,LEN("ME"))="ME"</formula>
    </cfRule>
  </conditionalFormatting>
  <conditionalFormatting sqref="W55">
    <cfRule type="beginsWith" dxfId="554" priority="637" operator="beginsWith" text="ME-TL">
      <formula>LEFT(W55,LEN("ME-TL"))="ME-TL"</formula>
    </cfRule>
  </conditionalFormatting>
  <conditionalFormatting sqref="W55">
    <cfRule type="beginsWith" dxfId="553" priority="636" operator="beginsWith" text="M-W">
      <formula>LEFT(W55,LEN("M-W"))="M-W"</formula>
    </cfRule>
  </conditionalFormatting>
  <conditionalFormatting sqref="W69">
    <cfRule type="beginsWith" dxfId="552" priority="635" operator="beginsWith" text="M">
      <formula>LEFT(W69,LEN("M"))="M"</formula>
    </cfRule>
  </conditionalFormatting>
  <conditionalFormatting sqref="W69">
    <cfRule type="beginsWith" dxfId="551" priority="634" operator="beginsWith" text="Is-MB">
      <formula>LEFT(W69,LEN("Is-MB"))="Is-MB"</formula>
    </cfRule>
  </conditionalFormatting>
  <conditionalFormatting sqref="W69">
    <cfRule type="beginsWith" dxfId="550" priority="633" operator="beginsWith" text="Y">
      <formula>LEFT(W69,LEN("Y"))="Y"</formula>
    </cfRule>
  </conditionalFormatting>
  <conditionalFormatting sqref="W69">
    <cfRule type="beginsWith" dxfId="549" priority="632" operator="beginsWith" text="M-FP">
      <formula>LEFT(W69,LEN("M-FP"))="M-FP"</formula>
    </cfRule>
  </conditionalFormatting>
  <conditionalFormatting sqref="W69">
    <cfRule type="beginsWith" dxfId="548" priority="631" operator="beginsWith" text="ME">
      <formula>LEFT(W69,LEN("ME"))="ME"</formula>
    </cfRule>
  </conditionalFormatting>
  <conditionalFormatting sqref="W69">
    <cfRule type="beginsWith" dxfId="547" priority="630" operator="beginsWith" text="ME-TL">
      <formula>LEFT(W69,LEN("ME-TL"))="ME-TL"</formula>
    </cfRule>
  </conditionalFormatting>
  <conditionalFormatting sqref="W69">
    <cfRule type="beginsWith" dxfId="546" priority="629" operator="beginsWith" text="M-W">
      <formula>LEFT(W69,LEN("M-W"))="M-W"</formula>
    </cfRule>
  </conditionalFormatting>
  <conditionalFormatting sqref="W69">
    <cfRule type="beginsWith" dxfId="545" priority="628" operator="beginsWith" text="M">
      <formula>LEFT(W69,LEN("M"))="M"</formula>
    </cfRule>
  </conditionalFormatting>
  <conditionalFormatting sqref="W69">
    <cfRule type="beginsWith" dxfId="544" priority="627" operator="beginsWith" text="Is-MB">
      <formula>LEFT(W69,LEN("Is-MB"))="Is-MB"</formula>
    </cfRule>
  </conditionalFormatting>
  <conditionalFormatting sqref="W69">
    <cfRule type="beginsWith" dxfId="543" priority="626" operator="beginsWith" text="Y">
      <formula>LEFT(W69,LEN("Y"))="Y"</formula>
    </cfRule>
  </conditionalFormatting>
  <conditionalFormatting sqref="W69">
    <cfRule type="beginsWith" dxfId="542" priority="625" operator="beginsWith" text="M-FP">
      <formula>LEFT(W69,LEN("M-FP"))="M-FP"</formula>
    </cfRule>
  </conditionalFormatting>
  <conditionalFormatting sqref="W69">
    <cfRule type="beginsWith" dxfId="541" priority="624" operator="beginsWith" text="ME">
      <formula>LEFT(W69,LEN("ME"))="ME"</formula>
    </cfRule>
  </conditionalFormatting>
  <conditionalFormatting sqref="W69">
    <cfRule type="beginsWith" dxfId="540" priority="623" operator="beginsWith" text="ME-TL">
      <formula>LEFT(W69,LEN("ME-TL"))="ME-TL"</formula>
    </cfRule>
  </conditionalFormatting>
  <conditionalFormatting sqref="W69">
    <cfRule type="beginsWith" dxfId="539" priority="622" operator="beginsWith" text="M-W">
      <formula>LEFT(W69,LEN("M-W"))="M-W"</formula>
    </cfRule>
  </conditionalFormatting>
  <conditionalFormatting sqref="W69">
    <cfRule type="beginsWith" dxfId="538" priority="621" operator="beginsWith" text="M">
      <formula>LEFT(W69,LEN("M"))="M"</formula>
    </cfRule>
  </conditionalFormatting>
  <conditionalFormatting sqref="W69">
    <cfRule type="beginsWith" dxfId="537" priority="620" operator="beginsWith" text="Is-MB">
      <formula>LEFT(W69,LEN("Is-MB"))="Is-MB"</formula>
    </cfRule>
  </conditionalFormatting>
  <conditionalFormatting sqref="W69">
    <cfRule type="beginsWith" dxfId="536" priority="619" operator="beginsWith" text="Y">
      <formula>LEFT(W69,LEN("Y"))="Y"</formula>
    </cfRule>
  </conditionalFormatting>
  <conditionalFormatting sqref="W69">
    <cfRule type="beginsWith" dxfId="535" priority="618" operator="beginsWith" text="M-FP">
      <formula>LEFT(W69,LEN("M-FP"))="M-FP"</formula>
    </cfRule>
  </conditionalFormatting>
  <conditionalFormatting sqref="W69">
    <cfRule type="beginsWith" dxfId="534" priority="617" operator="beginsWith" text="ME">
      <formula>LEFT(W69,LEN("ME"))="ME"</formula>
    </cfRule>
  </conditionalFormatting>
  <conditionalFormatting sqref="W69">
    <cfRule type="beginsWith" dxfId="533" priority="616" operator="beginsWith" text="ME-TL">
      <formula>LEFT(W69,LEN("ME-TL"))="ME-TL"</formula>
    </cfRule>
  </conditionalFormatting>
  <conditionalFormatting sqref="W69">
    <cfRule type="beginsWith" dxfId="532" priority="615" operator="beginsWith" text="M-W">
      <formula>LEFT(W69,LEN("M-W"))="M-W"</formula>
    </cfRule>
  </conditionalFormatting>
  <conditionalFormatting sqref="W69">
    <cfRule type="beginsWith" dxfId="531" priority="614" operator="beginsWith" text="M">
      <formula>LEFT(W69,LEN("M"))="M"</formula>
    </cfRule>
  </conditionalFormatting>
  <conditionalFormatting sqref="W69">
    <cfRule type="beginsWith" dxfId="530" priority="613" operator="beginsWith" text="Is-MB">
      <formula>LEFT(W69,LEN("Is-MB"))="Is-MB"</formula>
    </cfRule>
  </conditionalFormatting>
  <conditionalFormatting sqref="W69">
    <cfRule type="beginsWith" dxfId="529" priority="612" operator="beginsWith" text="Y">
      <formula>LEFT(W69,LEN("Y"))="Y"</formula>
    </cfRule>
  </conditionalFormatting>
  <conditionalFormatting sqref="W69">
    <cfRule type="beginsWith" dxfId="528" priority="611" operator="beginsWith" text="M-FP">
      <formula>LEFT(W69,LEN("M-FP"))="M-FP"</formula>
    </cfRule>
  </conditionalFormatting>
  <conditionalFormatting sqref="W69">
    <cfRule type="beginsWith" dxfId="527" priority="610" operator="beginsWith" text="ME">
      <formula>LEFT(W69,LEN("ME"))="ME"</formula>
    </cfRule>
  </conditionalFormatting>
  <conditionalFormatting sqref="W69">
    <cfRule type="beginsWith" dxfId="526" priority="609" operator="beginsWith" text="ME-TL">
      <formula>LEFT(W69,LEN("ME-TL"))="ME-TL"</formula>
    </cfRule>
  </conditionalFormatting>
  <conditionalFormatting sqref="W69">
    <cfRule type="beginsWith" dxfId="525" priority="608" operator="beginsWith" text="M-W">
      <formula>LEFT(W69,LEN("M-W"))="M-W"</formula>
    </cfRule>
  </conditionalFormatting>
  <conditionalFormatting sqref="W69">
    <cfRule type="beginsWith" dxfId="524" priority="607" operator="beginsWith" text="M">
      <formula>LEFT(W69,LEN("M"))="M"</formula>
    </cfRule>
  </conditionalFormatting>
  <conditionalFormatting sqref="W69">
    <cfRule type="beginsWith" dxfId="523" priority="606" operator="beginsWith" text="Is-MB">
      <formula>LEFT(W69,LEN("Is-MB"))="Is-MB"</formula>
    </cfRule>
  </conditionalFormatting>
  <conditionalFormatting sqref="W69">
    <cfRule type="beginsWith" dxfId="522" priority="605" operator="beginsWith" text="Y">
      <formula>LEFT(W69,LEN("Y"))="Y"</formula>
    </cfRule>
  </conditionalFormatting>
  <conditionalFormatting sqref="W69">
    <cfRule type="beginsWith" dxfId="521" priority="604" operator="beginsWith" text="M-FP">
      <formula>LEFT(W69,LEN("M-FP"))="M-FP"</formula>
    </cfRule>
  </conditionalFormatting>
  <conditionalFormatting sqref="W69">
    <cfRule type="beginsWith" dxfId="520" priority="603" operator="beginsWith" text="ME">
      <formula>LEFT(W69,LEN("ME"))="ME"</formula>
    </cfRule>
  </conditionalFormatting>
  <conditionalFormatting sqref="W69">
    <cfRule type="beginsWith" dxfId="519" priority="602" operator="beginsWith" text="ME-TL">
      <formula>LEFT(W69,LEN("ME-TL"))="ME-TL"</formula>
    </cfRule>
  </conditionalFormatting>
  <conditionalFormatting sqref="W69">
    <cfRule type="beginsWith" dxfId="518" priority="601" operator="beginsWith" text="M-W">
      <formula>LEFT(W69,LEN("M-W"))="M-W"</formula>
    </cfRule>
  </conditionalFormatting>
  <conditionalFormatting sqref="W69">
    <cfRule type="beginsWith" dxfId="517" priority="600" operator="beginsWith" text="M">
      <formula>LEFT(W69,LEN("M"))="M"</formula>
    </cfRule>
  </conditionalFormatting>
  <conditionalFormatting sqref="W69">
    <cfRule type="beginsWith" dxfId="516" priority="599" operator="beginsWith" text="Is-MB">
      <formula>LEFT(W69,LEN("Is-MB"))="Is-MB"</formula>
    </cfRule>
  </conditionalFormatting>
  <conditionalFormatting sqref="W69">
    <cfRule type="beginsWith" dxfId="515" priority="598" operator="beginsWith" text="Y">
      <formula>LEFT(W69,LEN("Y"))="Y"</formula>
    </cfRule>
  </conditionalFormatting>
  <conditionalFormatting sqref="W69">
    <cfRule type="beginsWith" dxfId="514" priority="597" operator="beginsWith" text="M-FP">
      <formula>LEFT(W69,LEN("M-FP"))="M-FP"</formula>
    </cfRule>
  </conditionalFormatting>
  <conditionalFormatting sqref="W69">
    <cfRule type="beginsWith" dxfId="513" priority="596" operator="beginsWith" text="ME">
      <formula>LEFT(W69,LEN("ME"))="ME"</formula>
    </cfRule>
  </conditionalFormatting>
  <conditionalFormatting sqref="W69">
    <cfRule type="beginsWith" dxfId="512" priority="595" operator="beginsWith" text="ME-TL">
      <formula>LEFT(W69,LEN("ME-TL"))="ME-TL"</formula>
    </cfRule>
  </conditionalFormatting>
  <conditionalFormatting sqref="W69">
    <cfRule type="beginsWith" dxfId="511" priority="594" operator="beginsWith" text="M-W">
      <formula>LEFT(W69,LEN("M-W"))="M-W"</formula>
    </cfRule>
  </conditionalFormatting>
  <conditionalFormatting sqref="W69">
    <cfRule type="beginsWith" dxfId="510" priority="593" operator="beginsWith" text="M">
      <formula>LEFT(W69,LEN("M"))="M"</formula>
    </cfRule>
  </conditionalFormatting>
  <conditionalFormatting sqref="W69">
    <cfRule type="beginsWith" dxfId="509" priority="592" operator="beginsWith" text="Is-MB">
      <formula>LEFT(W69,LEN("Is-MB"))="Is-MB"</formula>
    </cfRule>
  </conditionalFormatting>
  <conditionalFormatting sqref="W69">
    <cfRule type="beginsWith" dxfId="508" priority="591" operator="beginsWith" text="Y">
      <formula>LEFT(W69,LEN("Y"))="Y"</formula>
    </cfRule>
  </conditionalFormatting>
  <conditionalFormatting sqref="W69">
    <cfRule type="beginsWith" dxfId="507" priority="590" operator="beginsWith" text="M-FP">
      <formula>LEFT(W69,LEN("M-FP"))="M-FP"</formula>
    </cfRule>
  </conditionalFormatting>
  <conditionalFormatting sqref="W69">
    <cfRule type="beginsWith" dxfId="506" priority="589" operator="beginsWith" text="ME">
      <formula>LEFT(W69,LEN("ME"))="ME"</formula>
    </cfRule>
  </conditionalFormatting>
  <conditionalFormatting sqref="W69">
    <cfRule type="beginsWith" dxfId="505" priority="588" operator="beginsWith" text="ME-TL">
      <formula>LEFT(W69,LEN("ME-TL"))="ME-TL"</formula>
    </cfRule>
  </conditionalFormatting>
  <conditionalFormatting sqref="W69">
    <cfRule type="beginsWith" dxfId="504" priority="587" operator="beginsWith" text="M-W">
      <formula>LEFT(W69,LEN("M-W"))="M-W"</formula>
    </cfRule>
  </conditionalFormatting>
  <conditionalFormatting sqref="W69">
    <cfRule type="beginsWith" dxfId="503" priority="586" operator="beginsWith" text="M">
      <formula>LEFT(W69,LEN("M"))="M"</formula>
    </cfRule>
  </conditionalFormatting>
  <conditionalFormatting sqref="W69">
    <cfRule type="beginsWith" dxfId="502" priority="585" operator="beginsWith" text="Is-MB">
      <formula>LEFT(W69,LEN("Is-MB"))="Is-MB"</formula>
    </cfRule>
  </conditionalFormatting>
  <conditionalFormatting sqref="W69">
    <cfRule type="beginsWith" dxfId="501" priority="584" operator="beginsWith" text="Y">
      <formula>LEFT(W69,LEN("Y"))="Y"</formula>
    </cfRule>
  </conditionalFormatting>
  <conditionalFormatting sqref="W69">
    <cfRule type="beginsWith" dxfId="500" priority="583" operator="beginsWith" text="M-FP">
      <formula>LEFT(W69,LEN("M-FP"))="M-FP"</formula>
    </cfRule>
  </conditionalFormatting>
  <conditionalFormatting sqref="W69">
    <cfRule type="beginsWith" dxfId="499" priority="582" operator="beginsWith" text="ME">
      <formula>LEFT(W69,LEN("ME"))="ME"</formula>
    </cfRule>
  </conditionalFormatting>
  <conditionalFormatting sqref="W69">
    <cfRule type="beginsWith" dxfId="498" priority="581" operator="beginsWith" text="ME-TL">
      <formula>LEFT(W69,LEN("ME-TL"))="ME-TL"</formula>
    </cfRule>
  </conditionalFormatting>
  <conditionalFormatting sqref="W69">
    <cfRule type="beginsWith" dxfId="497" priority="580" operator="beginsWith" text="M-W">
      <formula>LEFT(W69,LEN("M-W"))="M-W"</formula>
    </cfRule>
  </conditionalFormatting>
  <conditionalFormatting sqref="W69">
    <cfRule type="beginsWith" dxfId="496" priority="579" operator="beginsWith" text="M">
      <formula>LEFT(W69,LEN("M"))="M"</formula>
    </cfRule>
  </conditionalFormatting>
  <conditionalFormatting sqref="W69">
    <cfRule type="beginsWith" dxfId="495" priority="578" operator="beginsWith" text="Is-MB">
      <formula>LEFT(W69,LEN("Is-MB"))="Is-MB"</formula>
    </cfRule>
  </conditionalFormatting>
  <conditionalFormatting sqref="W69">
    <cfRule type="beginsWith" dxfId="494" priority="577" operator="beginsWith" text="Y">
      <formula>LEFT(W69,LEN("Y"))="Y"</formula>
    </cfRule>
  </conditionalFormatting>
  <conditionalFormatting sqref="W69">
    <cfRule type="beginsWith" dxfId="493" priority="576" operator="beginsWith" text="M-FP">
      <formula>LEFT(W69,LEN("M-FP"))="M-FP"</formula>
    </cfRule>
  </conditionalFormatting>
  <conditionalFormatting sqref="W69">
    <cfRule type="beginsWith" dxfId="492" priority="575" operator="beginsWith" text="ME">
      <formula>LEFT(W69,LEN("ME"))="ME"</formula>
    </cfRule>
  </conditionalFormatting>
  <conditionalFormatting sqref="W69">
    <cfRule type="beginsWith" dxfId="491" priority="574" operator="beginsWith" text="ME-TL">
      <formula>LEFT(W69,LEN("ME-TL"))="ME-TL"</formula>
    </cfRule>
  </conditionalFormatting>
  <conditionalFormatting sqref="W69">
    <cfRule type="beginsWith" dxfId="490" priority="573" operator="beginsWith" text="M-W">
      <formula>LEFT(W69,LEN("M-W"))="M-W"</formula>
    </cfRule>
  </conditionalFormatting>
  <conditionalFormatting sqref="W69">
    <cfRule type="beginsWith" dxfId="489" priority="572" operator="beginsWith" text="M">
      <formula>LEFT(W69,LEN("M"))="M"</formula>
    </cfRule>
  </conditionalFormatting>
  <conditionalFormatting sqref="W69">
    <cfRule type="beginsWith" dxfId="488" priority="571" operator="beginsWith" text="Is-MB">
      <formula>LEFT(W69,LEN("Is-MB"))="Is-MB"</formula>
    </cfRule>
  </conditionalFormatting>
  <conditionalFormatting sqref="W69">
    <cfRule type="beginsWith" dxfId="487" priority="570" operator="beginsWith" text="Y">
      <formula>LEFT(W69,LEN("Y"))="Y"</formula>
    </cfRule>
  </conditionalFormatting>
  <conditionalFormatting sqref="W69">
    <cfRule type="beginsWith" dxfId="486" priority="569" operator="beginsWith" text="M-FP">
      <formula>LEFT(W69,LEN("M-FP"))="M-FP"</formula>
    </cfRule>
  </conditionalFormatting>
  <conditionalFormatting sqref="W69">
    <cfRule type="beginsWith" dxfId="485" priority="568" operator="beginsWith" text="ME">
      <formula>LEFT(W69,LEN("ME"))="ME"</formula>
    </cfRule>
  </conditionalFormatting>
  <conditionalFormatting sqref="W69">
    <cfRule type="beginsWith" dxfId="484" priority="567" operator="beginsWith" text="ME-TL">
      <formula>LEFT(W69,LEN("ME-TL"))="ME-TL"</formula>
    </cfRule>
  </conditionalFormatting>
  <conditionalFormatting sqref="W69">
    <cfRule type="beginsWith" dxfId="483" priority="566" operator="beginsWith" text="M-W">
      <formula>LEFT(W69,LEN("M-W"))="M-W"</formula>
    </cfRule>
  </conditionalFormatting>
  <conditionalFormatting sqref="R73">
    <cfRule type="beginsWith" dxfId="482" priority="565" operator="beginsWith" text="M">
      <formula>LEFT(R73,LEN("M"))="M"</formula>
    </cfRule>
  </conditionalFormatting>
  <conditionalFormatting sqref="R73">
    <cfRule type="beginsWith" dxfId="481" priority="564" operator="beginsWith" text="Is-MB">
      <formula>LEFT(R73,LEN("Is-MB"))="Is-MB"</formula>
    </cfRule>
  </conditionalFormatting>
  <conditionalFormatting sqref="R73">
    <cfRule type="beginsWith" dxfId="480" priority="563" operator="beginsWith" text="Y">
      <formula>LEFT(R73,LEN("Y"))="Y"</formula>
    </cfRule>
  </conditionalFormatting>
  <conditionalFormatting sqref="R73">
    <cfRule type="beginsWith" dxfId="479" priority="562" operator="beginsWith" text="M-FP">
      <formula>LEFT(R73,LEN("M-FP"))="M-FP"</formula>
    </cfRule>
  </conditionalFormatting>
  <conditionalFormatting sqref="R73">
    <cfRule type="beginsWith" dxfId="478" priority="561" operator="beginsWith" text="ME">
      <formula>LEFT(R73,LEN("ME"))="ME"</formula>
    </cfRule>
  </conditionalFormatting>
  <conditionalFormatting sqref="R73">
    <cfRule type="beginsWith" dxfId="477" priority="560" operator="beginsWith" text="ME-TL">
      <formula>LEFT(R73,LEN("ME-TL"))="ME-TL"</formula>
    </cfRule>
  </conditionalFormatting>
  <conditionalFormatting sqref="R73">
    <cfRule type="beginsWith" dxfId="476" priority="559" operator="beginsWith" text="M-W">
      <formula>LEFT(R73,LEN("M-W"))="M-W"</formula>
    </cfRule>
  </conditionalFormatting>
  <conditionalFormatting sqref="R73">
    <cfRule type="beginsWith" dxfId="475" priority="558" operator="beginsWith" text="M">
      <formula>LEFT(R73,LEN("M"))="M"</formula>
    </cfRule>
  </conditionalFormatting>
  <conditionalFormatting sqref="R73">
    <cfRule type="beginsWith" dxfId="474" priority="557" operator="beginsWith" text="Is-MB">
      <formula>LEFT(R73,LEN("Is-MB"))="Is-MB"</formula>
    </cfRule>
  </conditionalFormatting>
  <conditionalFormatting sqref="R73">
    <cfRule type="beginsWith" dxfId="473" priority="556" operator="beginsWith" text="Y">
      <formula>LEFT(R73,LEN("Y"))="Y"</formula>
    </cfRule>
  </conditionalFormatting>
  <conditionalFormatting sqref="R73">
    <cfRule type="beginsWith" dxfId="472" priority="555" operator="beginsWith" text="M-FP">
      <formula>LEFT(R73,LEN("M-FP"))="M-FP"</formula>
    </cfRule>
  </conditionalFormatting>
  <conditionalFormatting sqref="R73">
    <cfRule type="beginsWith" dxfId="471" priority="554" operator="beginsWith" text="ME">
      <formula>LEFT(R73,LEN("ME"))="ME"</formula>
    </cfRule>
  </conditionalFormatting>
  <conditionalFormatting sqref="R73">
    <cfRule type="beginsWith" dxfId="470" priority="553" operator="beginsWith" text="ME-TL">
      <formula>LEFT(R73,LEN("ME-TL"))="ME-TL"</formula>
    </cfRule>
  </conditionalFormatting>
  <conditionalFormatting sqref="R73">
    <cfRule type="beginsWith" dxfId="469" priority="552" operator="beginsWith" text="M-W">
      <formula>LEFT(R73,LEN("M-W"))="M-W"</formula>
    </cfRule>
  </conditionalFormatting>
  <conditionalFormatting sqref="R73">
    <cfRule type="beginsWith" dxfId="468" priority="551" operator="beginsWith" text="M">
      <formula>LEFT(R73,LEN("M"))="M"</formula>
    </cfRule>
  </conditionalFormatting>
  <conditionalFormatting sqref="R73">
    <cfRule type="beginsWith" dxfId="467" priority="550" operator="beginsWith" text="Is-MB">
      <formula>LEFT(R73,LEN("Is-MB"))="Is-MB"</formula>
    </cfRule>
  </conditionalFormatting>
  <conditionalFormatting sqref="R73">
    <cfRule type="beginsWith" dxfId="466" priority="549" operator="beginsWith" text="Y">
      <formula>LEFT(R73,LEN("Y"))="Y"</formula>
    </cfRule>
  </conditionalFormatting>
  <conditionalFormatting sqref="R73">
    <cfRule type="beginsWith" dxfId="465" priority="548" operator="beginsWith" text="M-FP">
      <formula>LEFT(R73,LEN("M-FP"))="M-FP"</formula>
    </cfRule>
  </conditionalFormatting>
  <conditionalFormatting sqref="R73">
    <cfRule type="beginsWith" dxfId="464" priority="547" operator="beginsWith" text="ME">
      <formula>LEFT(R73,LEN("ME"))="ME"</formula>
    </cfRule>
  </conditionalFormatting>
  <conditionalFormatting sqref="R73">
    <cfRule type="beginsWith" dxfId="463" priority="546" operator="beginsWith" text="ME-TL">
      <formula>LEFT(R73,LEN("ME-TL"))="ME-TL"</formula>
    </cfRule>
  </conditionalFormatting>
  <conditionalFormatting sqref="R73">
    <cfRule type="beginsWith" dxfId="462" priority="545" operator="beginsWith" text="M-W">
      <formula>LEFT(R73,LEN("M-W"))="M-W"</formula>
    </cfRule>
  </conditionalFormatting>
  <conditionalFormatting sqref="R73">
    <cfRule type="beginsWith" dxfId="461" priority="544" operator="beginsWith" text="M">
      <formula>LEFT(R73,LEN("M"))="M"</formula>
    </cfRule>
  </conditionalFormatting>
  <conditionalFormatting sqref="R73">
    <cfRule type="beginsWith" dxfId="460" priority="543" operator="beginsWith" text="Is-MB">
      <formula>LEFT(R73,LEN("Is-MB"))="Is-MB"</formula>
    </cfRule>
  </conditionalFormatting>
  <conditionalFormatting sqref="R73">
    <cfRule type="beginsWith" dxfId="459" priority="542" operator="beginsWith" text="Y">
      <formula>LEFT(R73,LEN("Y"))="Y"</formula>
    </cfRule>
  </conditionalFormatting>
  <conditionalFormatting sqref="R73">
    <cfRule type="beginsWith" dxfId="458" priority="541" operator="beginsWith" text="M-FP">
      <formula>LEFT(R73,LEN("M-FP"))="M-FP"</formula>
    </cfRule>
  </conditionalFormatting>
  <conditionalFormatting sqref="R73">
    <cfRule type="beginsWith" dxfId="457" priority="540" operator="beginsWith" text="ME">
      <formula>LEFT(R73,LEN("ME"))="ME"</formula>
    </cfRule>
  </conditionalFormatting>
  <conditionalFormatting sqref="R73">
    <cfRule type="beginsWith" dxfId="456" priority="539" operator="beginsWith" text="ME-TL">
      <formula>LEFT(R73,LEN("ME-TL"))="ME-TL"</formula>
    </cfRule>
  </conditionalFormatting>
  <conditionalFormatting sqref="R73">
    <cfRule type="beginsWith" dxfId="455" priority="538" operator="beginsWith" text="M-W">
      <formula>LEFT(R73,LEN("M-W"))="M-W"</formula>
    </cfRule>
  </conditionalFormatting>
  <conditionalFormatting sqref="R73">
    <cfRule type="beginsWith" dxfId="454" priority="537" operator="beginsWith" text="M">
      <formula>LEFT(R73,LEN("M"))="M"</formula>
    </cfRule>
  </conditionalFormatting>
  <conditionalFormatting sqref="R73">
    <cfRule type="beginsWith" dxfId="453" priority="536" operator="beginsWith" text="Is-MB">
      <formula>LEFT(R73,LEN("Is-MB"))="Is-MB"</formula>
    </cfRule>
  </conditionalFormatting>
  <conditionalFormatting sqref="R73">
    <cfRule type="beginsWith" dxfId="452" priority="535" operator="beginsWith" text="Y">
      <formula>LEFT(R73,LEN("Y"))="Y"</formula>
    </cfRule>
  </conditionalFormatting>
  <conditionalFormatting sqref="R73">
    <cfRule type="beginsWith" dxfId="451" priority="534" operator="beginsWith" text="M-FP">
      <formula>LEFT(R73,LEN("M-FP"))="M-FP"</formula>
    </cfRule>
  </conditionalFormatting>
  <conditionalFormatting sqref="R73">
    <cfRule type="beginsWith" dxfId="450" priority="533" operator="beginsWith" text="ME">
      <formula>LEFT(R73,LEN("ME"))="ME"</formula>
    </cfRule>
  </conditionalFormatting>
  <conditionalFormatting sqref="R73">
    <cfRule type="beginsWith" dxfId="449" priority="532" operator="beginsWith" text="ME-TL">
      <formula>LEFT(R73,LEN("ME-TL"))="ME-TL"</formula>
    </cfRule>
  </conditionalFormatting>
  <conditionalFormatting sqref="R73">
    <cfRule type="beginsWith" dxfId="448" priority="531" operator="beginsWith" text="M-W">
      <formula>LEFT(R73,LEN("M-W"))="M-W"</formula>
    </cfRule>
  </conditionalFormatting>
  <conditionalFormatting sqref="R73">
    <cfRule type="beginsWith" dxfId="447" priority="530" operator="beginsWith" text="M">
      <formula>LEFT(R73,LEN("M"))="M"</formula>
    </cfRule>
  </conditionalFormatting>
  <conditionalFormatting sqref="R73">
    <cfRule type="beginsWith" dxfId="446" priority="529" operator="beginsWith" text="Is-MB">
      <formula>LEFT(R73,LEN("Is-MB"))="Is-MB"</formula>
    </cfRule>
  </conditionalFormatting>
  <conditionalFormatting sqref="R73">
    <cfRule type="beginsWith" dxfId="445" priority="528" operator="beginsWith" text="Y">
      <formula>LEFT(R73,LEN("Y"))="Y"</formula>
    </cfRule>
  </conditionalFormatting>
  <conditionalFormatting sqref="R73">
    <cfRule type="beginsWith" dxfId="444" priority="527" operator="beginsWith" text="M-FP">
      <formula>LEFT(R73,LEN("M-FP"))="M-FP"</formula>
    </cfRule>
  </conditionalFormatting>
  <conditionalFormatting sqref="R73">
    <cfRule type="beginsWith" dxfId="443" priority="526" operator="beginsWith" text="ME">
      <formula>LEFT(R73,LEN("ME"))="ME"</formula>
    </cfRule>
  </conditionalFormatting>
  <conditionalFormatting sqref="R73">
    <cfRule type="beginsWith" dxfId="442" priority="525" operator="beginsWith" text="ME-TL">
      <formula>LEFT(R73,LEN("ME-TL"))="ME-TL"</formula>
    </cfRule>
  </conditionalFormatting>
  <conditionalFormatting sqref="R73">
    <cfRule type="beginsWith" dxfId="441" priority="524" operator="beginsWith" text="M-W">
      <formula>LEFT(R73,LEN("M-W"))="M-W"</formula>
    </cfRule>
  </conditionalFormatting>
  <conditionalFormatting sqref="R73">
    <cfRule type="beginsWith" dxfId="440" priority="523" operator="beginsWith" text="M">
      <formula>LEFT(R73,LEN("M"))="M"</formula>
    </cfRule>
  </conditionalFormatting>
  <conditionalFormatting sqref="R73">
    <cfRule type="beginsWith" dxfId="439" priority="522" operator="beginsWith" text="Is-MB">
      <formula>LEFT(R73,LEN("Is-MB"))="Is-MB"</formula>
    </cfRule>
  </conditionalFormatting>
  <conditionalFormatting sqref="R73">
    <cfRule type="beginsWith" dxfId="438" priority="521" operator="beginsWith" text="Y">
      <formula>LEFT(R73,LEN("Y"))="Y"</formula>
    </cfRule>
  </conditionalFormatting>
  <conditionalFormatting sqref="R73">
    <cfRule type="beginsWith" dxfId="437" priority="520" operator="beginsWith" text="M-FP">
      <formula>LEFT(R73,LEN("M-FP"))="M-FP"</formula>
    </cfRule>
  </conditionalFormatting>
  <conditionalFormatting sqref="R73">
    <cfRule type="beginsWith" dxfId="436" priority="519" operator="beginsWith" text="ME">
      <formula>LEFT(R73,LEN("ME"))="ME"</formula>
    </cfRule>
  </conditionalFormatting>
  <conditionalFormatting sqref="R73">
    <cfRule type="beginsWith" dxfId="435" priority="518" operator="beginsWith" text="ME-TL">
      <formula>LEFT(R73,LEN("ME-TL"))="ME-TL"</formula>
    </cfRule>
  </conditionalFormatting>
  <conditionalFormatting sqref="R73">
    <cfRule type="beginsWith" dxfId="434" priority="517" operator="beginsWith" text="M-W">
      <formula>LEFT(R73,LEN("M-W"))="M-W"</formula>
    </cfRule>
  </conditionalFormatting>
  <conditionalFormatting sqref="R73">
    <cfRule type="beginsWith" dxfId="433" priority="516" operator="beginsWith" text="M">
      <formula>LEFT(R73,LEN("M"))="M"</formula>
    </cfRule>
  </conditionalFormatting>
  <conditionalFormatting sqref="R73">
    <cfRule type="beginsWith" dxfId="432" priority="515" operator="beginsWith" text="Is-MB">
      <formula>LEFT(R73,LEN("Is-MB"))="Is-MB"</formula>
    </cfRule>
  </conditionalFormatting>
  <conditionalFormatting sqref="R73">
    <cfRule type="beginsWith" dxfId="431" priority="514" operator="beginsWith" text="Y">
      <formula>LEFT(R73,LEN("Y"))="Y"</formula>
    </cfRule>
  </conditionalFormatting>
  <conditionalFormatting sqref="R73">
    <cfRule type="beginsWith" dxfId="430" priority="513" operator="beginsWith" text="M-FP">
      <formula>LEFT(R73,LEN("M-FP"))="M-FP"</formula>
    </cfRule>
  </conditionalFormatting>
  <conditionalFormatting sqref="R73">
    <cfRule type="beginsWith" dxfId="429" priority="512" operator="beginsWith" text="ME">
      <formula>LEFT(R73,LEN("ME"))="ME"</formula>
    </cfRule>
  </conditionalFormatting>
  <conditionalFormatting sqref="R73">
    <cfRule type="beginsWith" dxfId="428" priority="511" operator="beginsWith" text="ME-TL">
      <formula>LEFT(R73,LEN("ME-TL"))="ME-TL"</formula>
    </cfRule>
  </conditionalFormatting>
  <conditionalFormatting sqref="R73">
    <cfRule type="beginsWith" dxfId="427" priority="510" operator="beginsWith" text="M-W">
      <formula>LEFT(R73,LEN("M-W"))="M-W"</formula>
    </cfRule>
  </conditionalFormatting>
  <conditionalFormatting sqref="BA69">
    <cfRule type="beginsWith" dxfId="426" priority="509" operator="beginsWith" text="M">
      <formula>LEFT(BA69,LEN("M"))="M"</formula>
    </cfRule>
  </conditionalFormatting>
  <conditionalFormatting sqref="BA69">
    <cfRule type="beginsWith" dxfId="425" priority="508" operator="beginsWith" text="Is-MB">
      <formula>LEFT(BA69,LEN("Is-MB"))="Is-MB"</formula>
    </cfRule>
  </conditionalFormatting>
  <conditionalFormatting sqref="BA69">
    <cfRule type="beginsWith" dxfId="424" priority="507" operator="beginsWith" text="Y">
      <formula>LEFT(BA69,LEN("Y"))="Y"</formula>
    </cfRule>
  </conditionalFormatting>
  <conditionalFormatting sqref="BA69">
    <cfRule type="beginsWith" dxfId="423" priority="506" operator="beginsWith" text="M-FP">
      <formula>LEFT(BA69,LEN("M-FP"))="M-FP"</formula>
    </cfRule>
  </conditionalFormatting>
  <conditionalFormatting sqref="BA69">
    <cfRule type="beginsWith" dxfId="422" priority="505" operator="beginsWith" text="ME">
      <formula>LEFT(BA69,LEN("ME"))="ME"</formula>
    </cfRule>
  </conditionalFormatting>
  <conditionalFormatting sqref="BA69">
    <cfRule type="beginsWith" dxfId="421" priority="504" operator="beginsWith" text="ME-TL">
      <formula>LEFT(BA69,LEN("ME-TL"))="ME-TL"</formula>
    </cfRule>
  </conditionalFormatting>
  <conditionalFormatting sqref="BA69">
    <cfRule type="beginsWith" dxfId="420" priority="503" operator="beginsWith" text="M-W">
      <formula>LEFT(BA69,LEN("M-W"))="M-W"</formula>
    </cfRule>
  </conditionalFormatting>
  <conditionalFormatting sqref="BA69">
    <cfRule type="beginsWith" dxfId="419" priority="502" operator="beginsWith" text="M">
      <formula>LEFT(BA69,LEN("M"))="M"</formula>
    </cfRule>
  </conditionalFormatting>
  <conditionalFormatting sqref="BA69">
    <cfRule type="beginsWith" dxfId="418" priority="501" operator="beginsWith" text="Is-MB">
      <formula>LEFT(BA69,LEN("Is-MB"))="Is-MB"</formula>
    </cfRule>
  </conditionalFormatting>
  <conditionalFormatting sqref="BA69">
    <cfRule type="beginsWith" dxfId="417" priority="500" operator="beginsWith" text="Y">
      <formula>LEFT(BA69,LEN("Y"))="Y"</formula>
    </cfRule>
  </conditionalFormatting>
  <conditionalFormatting sqref="BA69">
    <cfRule type="beginsWith" dxfId="416" priority="499" operator="beginsWith" text="M-FP">
      <formula>LEFT(BA69,LEN("M-FP"))="M-FP"</formula>
    </cfRule>
  </conditionalFormatting>
  <conditionalFormatting sqref="BA69">
    <cfRule type="beginsWith" dxfId="415" priority="498" operator="beginsWith" text="ME">
      <formula>LEFT(BA69,LEN("ME"))="ME"</formula>
    </cfRule>
  </conditionalFormatting>
  <conditionalFormatting sqref="BA69">
    <cfRule type="beginsWith" dxfId="414" priority="497" operator="beginsWith" text="ME-TL">
      <formula>LEFT(BA69,LEN("ME-TL"))="ME-TL"</formula>
    </cfRule>
  </conditionalFormatting>
  <conditionalFormatting sqref="BA69">
    <cfRule type="beginsWith" dxfId="413" priority="496" operator="beginsWith" text="M-W">
      <formula>LEFT(BA69,LEN("M-W"))="M-W"</formula>
    </cfRule>
  </conditionalFormatting>
  <conditionalFormatting sqref="BA69">
    <cfRule type="beginsWith" dxfId="412" priority="495" operator="beginsWith" text="M">
      <formula>LEFT(BA69,LEN("M"))="M"</formula>
    </cfRule>
  </conditionalFormatting>
  <conditionalFormatting sqref="BA69">
    <cfRule type="beginsWith" dxfId="411" priority="494" operator="beginsWith" text="Is-MB">
      <formula>LEFT(BA69,LEN("Is-MB"))="Is-MB"</formula>
    </cfRule>
  </conditionalFormatting>
  <conditionalFormatting sqref="BA69">
    <cfRule type="beginsWith" dxfId="410" priority="493" operator="beginsWith" text="Y">
      <formula>LEFT(BA69,LEN("Y"))="Y"</formula>
    </cfRule>
  </conditionalFormatting>
  <conditionalFormatting sqref="BA69">
    <cfRule type="beginsWith" dxfId="409" priority="492" operator="beginsWith" text="M-FP">
      <formula>LEFT(BA69,LEN("M-FP"))="M-FP"</formula>
    </cfRule>
  </conditionalFormatting>
  <conditionalFormatting sqref="BA69">
    <cfRule type="beginsWith" dxfId="408" priority="491" operator="beginsWith" text="ME">
      <formula>LEFT(BA69,LEN("ME"))="ME"</formula>
    </cfRule>
  </conditionalFormatting>
  <conditionalFormatting sqref="BA69">
    <cfRule type="beginsWith" dxfId="407" priority="490" operator="beginsWith" text="ME-TL">
      <formula>LEFT(BA69,LEN("ME-TL"))="ME-TL"</formula>
    </cfRule>
  </conditionalFormatting>
  <conditionalFormatting sqref="BA69">
    <cfRule type="beginsWith" dxfId="406" priority="489" operator="beginsWith" text="M-W">
      <formula>LEFT(BA69,LEN("M-W"))="M-W"</formula>
    </cfRule>
  </conditionalFormatting>
  <conditionalFormatting sqref="BA69">
    <cfRule type="beginsWith" dxfId="405" priority="488" operator="beginsWith" text="M">
      <formula>LEFT(BA69,LEN("M"))="M"</formula>
    </cfRule>
  </conditionalFormatting>
  <conditionalFormatting sqref="BA69">
    <cfRule type="beginsWith" dxfId="404" priority="487" operator="beginsWith" text="Is-MB">
      <formula>LEFT(BA69,LEN("Is-MB"))="Is-MB"</formula>
    </cfRule>
  </conditionalFormatting>
  <conditionalFormatting sqref="BA69">
    <cfRule type="beginsWith" dxfId="403" priority="486" operator="beginsWith" text="Y">
      <formula>LEFT(BA69,LEN("Y"))="Y"</formula>
    </cfRule>
  </conditionalFormatting>
  <conditionalFormatting sqref="BA69">
    <cfRule type="beginsWith" dxfId="402" priority="485" operator="beginsWith" text="M-FP">
      <formula>LEFT(BA69,LEN("M-FP"))="M-FP"</formula>
    </cfRule>
  </conditionalFormatting>
  <conditionalFormatting sqref="BA69">
    <cfRule type="beginsWith" dxfId="401" priority="484" operator="beginsWith" text="ME">
      <formula>LEFT(BA69,LEN("ME"))="ME"</formula>
    </cfRule>
  </conditionalFormatting>
  <conditionalFormatting sqref="BA69">
    <cfRule type="beginsWith" dxfId="400" priority="483" operator="beginsWith" text="ME-TL">
      <formula>LEFT(BA69,LEN("ME-TL"))="ME-TL"</formula>
    </cfRule>
  </conditionalFormatting>
  <conditionalFormatting sqref="BA69">
    <cfRule type="beginsWith" dxfId="399" priority="482" operator="beginsWith" text="M-W">
      <formula>LEFT(BA69,LEN("M-W"))="M-W"</formula>
    </cfRule>
  </conditionalFormatting>
  <conditionalFormatting sqref="BA69">
    <cfRule type="beginsWith" dxfId="398" priority="481" operator="beginsWith" text="M">
      <formula>LEFT(BA69,LEN("M"))="M"</formula>
    </cfRule>
  </conditionalFormatting>
  <conditionalFormatting sqref="BA69">
    <cfRule type="beginsWith" dxfId="397" priority="480" operator="beginsWith" text="Is-MB">
      <formula>LEFT(BA69,LEN("Is-MB"))="Is-MB"</formula>
    </cfRule>
  </conditionalFormatting>
  <conditionalFormatting sqref="BA69">
    <cfRule type="beginsWith" dxfId="396" priority="479" operator="beginsWith" text="Y">
      <formula>LEFT(BA69,LEN("Y"))="Y"</formula>
    </cfRule>
  </conditionalFormatting>
  <conditionalFormatting sqref="BA69">
    <cfRule type="beginsWith" dxfId="395" priority="478" operator="beginsWith" text="M-FP">
      <formula>LEFT(BA69,LEN("M-FP"))="M-FP"</formula>
    </cfRule>
  </conditionalFormatting>
  <conditionalFormatting sqref="BA69">
    <cfRule type="beginsWith" dxfId="394" priority="477" operator="beginsWith" text="ME">
      <formula>LEFT(BA69,LEN("ME"))="ME"</formula>
    </cfRule>
  </conditionalFormatting>
  <conditionalFormatting sqref="BA69">
    <cfRule type="beginsWith" dxfId="393" priority="476" operator="beginsWith" text="ME-TL">
      <formula>LEFT(BA69,LEN("ME-TL"))="ME-TL"</formula>
    </cfRule>
  </conditionalFormatting>
  <conditionalFormatting sqref="BA69">
    <cfRule type="beginsWith" dxfId="392" priority="475" operator="beginsWith" text="M-W">
      <formula>LEFT(BA69,LEN("M-W"))="M-W"</formula>
    </cfRule>
  </conditionalFormatting>
  <conditionalFormatting sqref="BA69">
    <cfRule type="beginsWith" dxfId="391" priority="474" operator="beginsWith" text="M">
      <formula>LEFT(BA69,LEN("M"))="M"</formula>
    </cfRule>
  </conditionalFormatting>
  <conditionalFormatting sqref="BA69">
    <cfRule type="beginsWith" dxfId="390" priority="473" operator="beginsWith" text="Is-MB">
      <formula>LEFT(BA69,LEN("Is-MB"))="Is-MB"</formula>
    </cfRule>
  </conditionalFormatting>
  <conditionalFormatting sqref="BA69">
    <cfRule type="beginsWith" dxfId="389" priority="472" operator="beginsWith" text="Y">
      <formula>LEFT(BA69,LEN("Y"))="Y"</formula>
    </cfRule>
  </conditionalFormatting>
  <conditionalFormatting sqref="BA69">
    <cfRule type="beginsWith" dxfId="388" priority="471" operator="beginsWith" text="M-FP">
      <formula>LEFT(BA69,LEN("M-FP"))="M-FP"</formula>
    </cfRule>
  </conditionalFormatting>
  <conditionalFormatting sqref="BA69">
    <cfRule type="beginsWith" dxfId="387" priority="470" operator="beginsWith" text="ME">
      <formula>LEFT(BA69,LEN("ME"))="ME"</formula>
    </cfRule>
  </conditionalFormatting>
  <conditionalFormatting sqref="BA69">
    <cfRule type="beginsWith" dxfId="386" priority="469" operator="beginsWith" text="ME-TL">
      <formula>LEFT(BA69,LEN("ME-TL"))="ME-TL"</formula>
    </cfRule>
  </conditionalFormatting>
  <conditionalFormatting sqref="BA69">
    <cfRule type="beginsWith" dxfId="385" priority="468" operator="beginsWith" text="M-W">
      <formula>LEFT(BA69,LEN("M-W"))="M-W"</formula>
    </cfRule>
  </conditionalFormatting>
  <conditionalFormatting sqref="BA69">
    <cfRule type="beginsWith" dxfId="384" priority="467" operator="beginsWith" text="M">
      <formula>LEFT(BA69,LEN("M"))="M"</formula>
    </cfRule>
  </conditionalFormatting>
  <conditionalFormatting sqref="BA69">
    <cfRule type="beginsWith" dxfId="383" priority="466" operator="beginsWith" text="Is-MB">
      <formula>LEFT(BA69,LEN("Is-MB"))="Is-MB"</formula>
    </cfRule>
  </conditionalFormatting>
  <conditionalFormatting sqref="BA69">
    <cfRule type="beginsWith" dxfId="382" priority="465" operator="beginsWith" text="Y">
      <formula>LEFT(BA69,LEN("Y"))="Y"</formula>
    </cfRule>
  </conditionalFormatting>
  <conditionalFormatting sqref="BA69">
    <cfRule type="beginsWith" dxfId="381" priority="464" operator="beginsWith" text="M-FP">
      <formula>LEFT(BA69,LEN("M-FP"))="M-FP"</formula>
    </cfRule>
  </conditionalFormatting>
  <conditionalFormatting sqref="BA69">
    <cfRule type="beginsWith" dxfId="380" priority="463" operator="beginsWith" text="ME">
      <formula>LEFT(BA69,LEN("ME"))="ME"</formula>
    </cfRule>
  </conditionalFormatting>
  <conditionalFormatting sqref="BA69">
    <cfRule type="beginsWith" dxfId="379" priority="462" operator="beginsWith" text="ME-TL">
      <formula>LEFT(BA69,LEN("ME-TL"))="ME-TL"</formula>
    </cfRule>
  </conditionalFormatting>
  <conditionalFormatting sqref="BA69">
    <cfRule type="beginsWith" dxfId="378" priority="461" operator="beginsWith" text="M-W">
      <formula>LEFT(BA69,LEN("M-W"))="M-W"</formula>
    </cfRule>
  </conditionalFormatting>
  <conditionalFormatting sqref="BA69">
    <cfRule type="beginsWith" dxfId="377" priority="460" operator="beginsWith" text="M">
      <formula>LEFT(BA69,LEN("M"))="M"</formula>
    </cfRule>
  </conditionalFormatting>
  <conditionalFormatting sqref="BA69">
    <cfRule type="beginsWith" dxfId="376" priority="459" operator="beginsWith" text="Is-MB">
      <formula>LEFT(BA69,LEN("Is-MB"))="Is-MB"</formula>
    </cfRule>
  </conditionalFormatting>
  <conditionalFormatting sqref="BA69">
    <cfRule type="beginsWith" dxfId="375" priority="458" operator="beginsWith" text="Y">
      <formula>LEFT(BA69,LEN("Y"))="Y"</formula>
    </cfRule>
  </conditionalFormatting>
  <conditionalFormatting sqref="BA69">
    <cfRule type="beginsWith" dxfId="374" priority="457" operator="beginsWith" text="M-FP">
      <formula>LEFT(BA69,LEN("M-FP"))="M-FP"</formula>
    </cfRule>
  </conditionalFormatting>
  <conditionalFormatting sqref="BA69">
    <cfRule type="beginsWith" dxfId="373" priority="456" operator="beginsWith" text="ME">
      <formula>LEFT(BA69,LEN("ME"))="ME"</formula>
    </cfRule>
  </conditionalFormatting>
  <conditionalFormatting sqref="BA69">
    <cfRule type="beginsWith" dxfId="372" priority="455" operator="beginsWith" text="ME-TL">
      <formula>LEFT(BA69,LEN("ME-TL"))="ME-TL"</formula>
    </cfRule>
  </conditionalFormatting>
  <conditionalFormatting sqref="BA69">
    <cfRule type="beginsWith" dxfId="371" priority="454" operator="beginsWith" text="M-W">
      <formula>LEFT(BA69,LEN("M-W"))="M-W"</formula>
    </cfRule>
  </conditionalFormatting>
  <conditionalFormatting sqref="BA69">
    <cfRule type="beginsWith" dxfId="370" priority="453" operator="beginsWith" text="M">
      <formula>LEFT(BA69,LEN("M"))="M"</formula>
    </cfRule>
  </conditionalFormatting>
  <conditionalFormatting sqref="BA69">
    <cfRule type="beginsWith" dxfId="369" priority="452" operator="beginsWith" text="Is-MB">
      <formula>LEFT(BA69,LEN("Is-MB"))="Is-MB"</formula>
    </cfRule>
  </conditionalFormatting>
  <conditionalFormatting sqref="BA69">
    <cfRule type="beginsWith" dxfId="368" priority="451" operator="beginsWith" text="Y">
      <formula>LEFT(BA69,LEN("Y"))="Y"</formula>
    </cfRule>
  </conditionalFormatting>
  <conditionalFormatting sqref="BA69">
    <cfRule type="beginsWith" dxfId="367" priority="450" operator="beginsWith" text="M-FP">
      <formula>LEFT(BA69,LEN("M-FP"))="M-FP"</formula>
    </cfRule>
  </conditionalFormatting>
  <conditionalFormatting sqref="BA69">
    <cfRule type="beginsWith" dxfId="366" priority="449" operator="beginsWith" text="ME">
      <formula>LEFT(BA69,LEN("ME"))="ME"</formula>
    </cfRule>
  </conditionalFormatting>
  <conditionalFormatting sqref="BA69">
    <cfRule type="beginsWith" dxfId="365" priority="448" operator="beginsWith" text="ME-TL">
      <formula>LEFT(BA69,LEN("ME-TL"))="ME-TL"</formula>
    </cfRule>
  </conditionalFormatting>
  <conditionalFormatting sqref="BA69">
    <cfRule type="beginsWith" dxfId="364" priority="447" operator="beginsWith" text="M-W">
      <formula>LEFT(BA69,LEN("M-W"))="M-W"</formula>
    </cfRule>
  </conditionalFormatting>
  <conditionalFormatting sqref="BA69">
    <cfRule type="beginsWith" dxfId="363" priority="446" operator="beginsWith" text="M">
      <formula>LEFT(BA69,LEN("M"))="M"</formula>
    </cfRule>
  </conditionalFormatting>
  <conditionalFormatting sqref="BA69">
    <cfRule type="beginsWith" dxfId="362" priority="445" operator="beginsWith" text="Is-MB">
      <formula>LEFT(BA69,LEN("Is-MB"))="Is-MB"</formula>
    </cfRule>
  </conditionalFormatting>
  <conditionalFormatting sqref="BA69">
    <cfRule type="beginsWith" dxfId="361" priority="444" operator="beginsWith" text="Y">
      <formula>LEFT(BA69,LEN("Y"))="Y"</formula>
    </cfRule>
  </conditionalFormatting>
  <conditionalFormatting sqref="BA69">
    <cfRule type="beginsWith" dxfId="360" priority="443" operator="beginsWith" text="M-FP">
      <formula>LEFT(BA69,LEN("M-FP"))="M-FP"</formula>
    </cfRule>
  </conditionalFormatting>
  <conditionalFormatting sqref="BA69">
    <cfRule type="beginsWith" dxfId="359" priority="442" operator="beginsWith" text="ME">
      <formula>LEFT(BA69,LEN("ME"))="ME"</formula>
    </cfRule>
  </conditionalFormatting>
  <conditionalFormatting sqref="BA69">
    <cfRule type="beginsWith" dxfId="358" priority="441" operator="beginsWith" text="ME-TL">
      <formula>LEFT(BA69,LEN("ME-TL"))="ME-TL"</formula>
    </cfRule>
  </conditionalFormatting>
  <conditionalFormatting sqref="BA69">
    <cfRule type="beginsWith" dxfId="357" priority="440" operator="beginsWith" text="M-W">
      <formula>LEFT(BA69,LEN("M-W"))="M-W"</formula>
    </cfRule>
  </conditionalFormatting>
  <conditionalFormatting sqref="I26:K27">
    <cfRule type="expression" dxfId="356" priority="349">
      <formula>$F26="-"</formula>
    </cfRule>
    <cfRule type="expression" dxfId="355" priority="351">
      <formula>I$3=$PQ26</formula>
    </cfRule>
    <cfRule type="expression" dxfId="354" priority="353">
      <formula>I$3=$PO26</formula>
    </cfRule>
    <cfRule type="expression" dxfId="353" priority="355">
      <formula>I$3=$PM26</formula>
    </cfRule>
    <cfRule type="expression" dxfId="352" priority="357">
      <formula>IF(AND(RIGHT(I26,1)=".",LEFT(I26,2)&lt;&gt;"T1",LEFT(I26,2)&lt;&gt;"T2",LEFT(I26,2)&lt;&gt;"T3",LEFT(I26,2)&lt;&gt;"T4",LEFT(I26,2)&lt;&gt;"T5",LEFT(I26,2)&lt;&gt;"T6",LEFT(I26,2)&lt;&gt;"T7",LEFT(I26,2)&lt;&gt;"T8",LEFT(I26,2)&lt;&gt;"T9"),1,0)</formula>
    </cfRule>
    <cfRule type="expression" dxfId="351" priority="359">
      <formula>IF($C26&gt;0,IF(I$4=7,1,0),0)</formula>
    </cfRule>
    <cfRule type="expression" dxfId="350" priority="361">
      <formula>$C26&gt;0</formula>
    </cfRule>
    <cfRule type="expression" dxfId="349" priority="363">
      <formula>IF(OR(I26="T1.",I26="T2.",I26="T3.",I26="T4.",I26="T5.",I26="T6.",I26="T7.",I26="T8.",I26="T9."),1,0)</formula>
    </cfRule>
    <cfRule type="endsWith" dxfId="348" priority="365" operator="endsWith" text="_A">
      <formula>RIGHT(I26,LEN("_A"))="_A"</formula>
    </cfRule>
    <cfRule type="endsWith" dxfId="347" priority="367" operator="endsWith" text="_e">
      <formula>RIGHT(I26,LEN("_e"))="_e"</formula>
    </cfRule>
    <cfRule type="beginsWith" dxfId="346" priority="369" operator="beginsWith" text="ME-TL-AS">
      <formula>LEFT(I26,LEN("ME-TL-AS"))="ME-TL-AS"</formula>
    </cfRule>
    <cfRule type="beginsWith" dxfId="345" priority="371" operator="beginsWith" text="T-AS">
      <formula>LEFT(I26,LEN("T-AS"))="T-AS"</formula>
    </cfRule>
    <cfRule type="beginsWith" dxfId="344" priority="373" operator="beginsWith" text="M-KL">
      <formula>LEFT(I26,LEN("M-KL"))="M-KL"</formula>
    </cfRule>
    <cfRule type="beginsWith" dxfId="343" priority="375" operator="beginsWith" text="Ss">
      <formula>LEFT(I26,LEN("Ss"))="Ss"</formula>
    </cfRule>
    <cfRule type="beginsWith" dxfId="342" priority="377" operator="beginsWith" text="AC">
      <formula>LEFT(I26,LEN("AC"))="AC"</formula>
    </cfRule>
    <cfRule type="beginsWith" dxfId="341" priority="379" operator="beginsWith" text="TT">
      <formula>LEFT(I26,LEN("TT"))="TT"</formula>
    </cfRule>
    <cfRule type="beginsWith" dxfId="340" priority="381" operator="beginsWith" text="S">
      <formula>LEFT(I26,LEN("S"))="S"</formula>
    </cfRule>
    <cfRule type="beginsWith" dxfId="339" priority="383" operator="beginsWith" text="PK">
      <formula>LEFT(I26,LEN("PK"))="PK"</formula>
    </cfRule>
    <cfRule type="beginsWith" dxfId="338" priority="385" operator="beginsWith" text="W">
      <formula>LEFT(I26,LEN("W"))="W"</formula>
    </cfRule>
    <cfRule type="beginsWith" dxfId="337" priority="387" operator="beginsWith" text="Id">
      <formula>LEFT(I26,LEN("Id"))="Id"</formula>
    </cfRule>
    <cfRule type="beginsWith" dxfId="336" priority="389" operator="beginsWith" text="K">
      <formula>LEFT(I26,LEN("K"))="K"</formula>
    </cfRule>
    <cfRule type="beginsWith" dxfId="335" priority="391" operator="beginsWith" text="Is-ME">
      <formula>LEFT(I26,LEN("Is-ME"))="Is-ME"</formula>
    </cfRule>
    <cfRule type="beginsWith" dxfId="334" priority="393" operator="beginsWith" text="Is-Fe">
      <formula>LEFT(I26,LEN("Is-Fe"))="Is-Fe"</formula>
    </cfRule>
    <cfRule type="beginsWith" dxfId="333" priority="395" operator="beginsWith" text="Is">
      <formula>LEFT(I26,LEN("Is"))="Is"</formula>
    </cfRule>
    <cfRule type="beginsWith" dxfId="332" priority="397" operator="beginsWith" text="T">
      <formula>LEFT(I26,LEN("T"))="T"</formula>
    </cfRule>
    <cfRule type="beginsWith" dxfId="331" priority="399" operator="beginsWith" text="Mg">
      <formula>LEFT(I26,LEN("Mg"))="Mg"</formula>
    </cfRule>
    <cfRule type="beginsWith" dxfId="330" priority="401" operator="beginsWith" text="VM">
      <formula>LEFT(I26,LEN("VM"))="VM"</formula>
    </cfRule>
    <cfRule type="beginsWith" dxfId="329" priority="403" operator="beginsWith" text="ZW5">
      <formula>LEFT(I26,LEN("ZW5"))="ZW5"</formula>
    </cfRule>
    <cfRule type="beginsWith" dxfId="328" priority="405" operator="beginsWith" text="ZW3">
      <formula>LEFT(I26,LEN("ZW3"))="ZW3"</formula>
    </cfRule>
    <cfRule type="beginsWith" dxfId="327" priority="407" operator="beginsWith" text="ZW1">
      <formula>LEFT(I26,LEN("ZW1"))="ZW1"</formula>
    </cfRule>
    <cfRule type="beginsWith" dxfId="326" priority="409" operator="beginsWith" text="EW6">
      <formula>LEFT(I26,LEN("EW6"))="EW6"</formula>
    </cfRule>
    <cfRule type="beginsWith" dxfId="325" priority="411" operator="beginsWith" text="EW4">
      <formula>LEFT(I26,LEN("EW4"))="EW4"</formula>
    </cfRule>
    <cfRule type="beginsWith" dxfId="324" priority="413" operator="beginsWith" text="EW2">
      <formula>LEFT(I26,LEN("EW2"))="EW2"</formula>
    </cfRule>
    <cfRule type="beginsWith" dxfId="323" priority="415" operator="beginsWith" text="M-AS">
      <formula>LEFT(I26,LEN("M-AS"))="M-AS"</formula>
    </cfRule>
    <cfRule type="beginsWith" dxfId="322" priority="417" operator="beginsWith" text="TLP">
      <formula>LEFT(I26,LEN("TLP"))="TLP"</formula>
    </cfRule>
    <cfRule type="beginsWith" dxfId="321" priority="419" operator="beginsWith" text="US">
      <formula>LEFT(I26,LEN("US"))="US"</formula>
    </cfRule>
    <cfRule type="beginsWith" dxfId="320" priority="421" operator="beginsWith" text="AS">
      <formula>LEFT(I26,LEN("AS"))="AS"</formula>
    </cfRule>
    <cfRule type="beginsWith" dxfId="319" priority="423" operator="beginsWith" text="M-iW">
      <formula>LEFT(I26,LEN("M-iW"))="M-iW"</formula>
    </cfRule>
    <cfRule type="beginsWith" dxfId="318" priority="425" operator="beginsWith" text="MB">
      <formula>LEFT(I26,LEN("MB"))="MB"</formula>
    </cfRule>
  </conditionalFormatting>
  <conditionalFormatting sqref="I26:K27">
    <cfRule type="expression" dxfId="317" priority="350">
      <formula>$F26="--"</formula>
    </cfRule>
    <cfRule type="expression" dxfId="316" priority="352">
      <formula>I$3=$PP26</formula>
    </cfRule>
    <cfRule type="expression" dxfId="315" priority="354">
      <formula>I$3=$PN26</formula>
    </cfRule>
    <cfRule type="expression" dxfId="314" priority="356">
      <formula>I$3=$PL26</formula>
    </cfRule>
    <cfRule type="expression" dxfId="313" priority="358">
      <formula>IF(I26=0,IF(OR(I$4=6,I$4=7,I$5=1),1,0),0)</formula>
    </cfRule>
    <cfRule type="expression" dxfId="312" priority="360">
      <formula>IF($C26&gt;0,IF(I$4=1,1,0),0)</formula>
    </cfRule>
    <cfRule type="expression" dxfId="311" priority="362">
      <formula>IF(OR(I26="T1..",I26="T2..",I26="T3..",I26="T4..",I26="T5..",I26="T6..",I26="T7..",I26="T8..",I26="T9.."),1,0)</formula>
    </cfRule>
    <cfRule type="expression" dxfId="310" priority="364">
      <formula>IF(OR(I26="T1",I26="T2",I26="T3",I26="T4",I26="T5",I26="T6",I26="T7",I26="T8",I26="T9"),1,0)</formula>
    </cfRule>
    <cfRule type="endsWith" dxfId="309" priority="366" operator="endsWith" text="_x">
      <formula>RIGHT(I26,LEN("_x"))="_x"</formula>
    </cfRule>
    <cfRule type="beginsWith" dxfId="308" priority="368" operator="beginsWith" text="AS-TL">
      <formula>LEFT(I26,LEN("AS-TL"))="AS-TL"</formula>
    </cfRule>
    <cfRule type="beginsWith" dxfId="307" priority="370" operator="beginsWith" text="tbs">
      <formula>LEFT(I26,LEN("tbs"))="tbs"</formula>
    </cfRule>
    <cfRule type="beginsWith" dxfId="306" priority="372" operator="beginsWith" text="TL-AS">
      <formula>LEFT(I26,LEN("TL-AS"))="TL-AS"</formula>
    </cfRule>
    <cfRule type="beginsWith" dxfId="305" priority="374" operator="beginsWith" text="L">
      <formula>LEFT(I26,LEN("L"))="L"</formula>
    </cfRule>
    <cfRule type="beginsWith" dxfId="304" priority="376" operator="beginsWith" text="DC">
      <formula>LEFT(I26,LEN("DC"))="DC"</formula>
    </cfRule>
    <cfRule type="beginsWith" dxfId="303" priority="378" operator="beginsWith" text="FP">
      <formula>LEFT(I26,LEN("FP"))="FP"</formula>
    </cfRule>
    <cfRule type="beginsWith" dxfId="302" priority="380" operator="beginsWith" text="M-TT">
      <formula>LEFT(I26,LEN("M-TT"))="M-TT"</formula>
    </cfRule>
    <cfRule type="beginsWith" dxfId="301" priority="382" operator="beginsWith" text="Ü">
      <formula>LEFT(I26,LEN("Ü"))="Ü"</formula>
    </cfRule>
    <cfRule type="beginsWith" dxfId="300" priority="384" operator="beginsWith" text="iW">
      <formula>LEFT(I26,LEN("iW"))="iW"</formula>
    </cfRule>
    <cfRule type="beginsWith" dxfId="299" priority="386" operator="beginsWith" text="D">
      <formula>LEFT(I26,LEN("D"))="D"</formula>
    </cfRule>
    <cfRule type="beginsWith" dxfId="298" priority="388" operator="beginsWith" text="Kde">
      <formula>LEFT(I26,LEN("Kde"))="Kde"</formula>
    </cfRule>
    <cfRule type="beginsWith" dxfId="297" priority="390" operator="beginsWith" text="P">
      <formula>LEFT(I26,LEN("P"))="P"</formula>
    </cfRule>
    <cfRule type="beginsWith" dxfId="296" priority="392" operator="beginsWith" text="Is-M">
      <formula>LEFT(I26,LEN("Is-M"))="Is-M"</formula>
    </cfRule>
    <cfRule type="beginsWith" dxfId="295" priority="394" operator="beginsWith" text="Is-Id">
      <formula>LEFT(I26,LEN("Is-Id"))="Is-Id"</formula>
    </cfRule>
    <cfRule type="beginsWith" dxfId="294" priority="396" operator="beginsWith" text="M-Is">
      <formula>LEFT(I26,LEN("M-Is"))="M-Is"</formula>
    </cfRule>
    <cfRule type="beginsWith" dxfId="293" priority="398" operator="beginsWith" text="M-Fe">
      <formula>LEFT(I26,LEN("M-Fe"))="M-Fe"</formula>
    </cfRule>
    <cfRule type="beginsWith" dxfId="292" priority="400" operator="beginsWith" text="M-TP">
      <formula>LEFT(I26,LEN("M-TP"))="M-TP"</formula>
    </cfRule>
    <cfRule type="beginsWith" dxfId="291" priority="402" operator="beginsWith" text="ZW6">
      <formula>LEFT(I26,LEN("ZW6"))="ZW6"</formula>
    </cfRule>
    <cfRule type="beginsWith" dxfId="290" priority="404" operator="beginsWith" text="ZW4">
      <formula>LEFT(I26,LEN("ZW4"))="ZW4"</formula>
    </cfRule>
    <cfRule type="beginsWith" dxfId="289" priority="406" operator="beginsWith" text="ZW2">
      <formula>LEFT(I26,LEN("ZW2"))="ZW2"</formula>
    </cfRule>
    <cfRule type="beginsWith" dxfId="288" priority="408" operator="beginsWith" text="ZW0">
      <formula>LEFT(I26,LEN("ZW0"))="ZW0"</formula>
    </cfRule>
    <cfRule type="beginsWith" dxfId="287" priority="410" operator="beginsWith" text="EW5">
      <formula>LEFT(I26,LEN("EW5"))="EW5"</formula>
    </cfRule>
    <cfRule type="beginsWith" dxfId="286" priority="412" operator="beginsWith" text="EW3">
      <formula>LEFT(I26,LEN("EW3"))="EW3"</formula>
    </cfRule>
    <cfRule type="beginsWith" dxfId="285" priority="414" operator="beginsWith" text="EW1">
      <formula>LEFT(I26,LEN("EW1"))="EW1"</formula>
    </cfRule>
    <cfRule type="beginsWith" dxfId="284" priority="416" operator="beginsWith" text="TL-AS">
      <formula>LEFT(I26,LEN("TL-AS"))="TL-AS"</formula>
    </cfRule>
    <cfRule type="beginsWith" dxfId="283" priority="418" operator="beginsWith" text="TL">
      <formula>LEFT(I26,LEN("TL"))="TL"</formula>
    </cfRule>
    <cfRule type="beginsWith" dxfId="282" priority="420" operator="beginsWith" text="AF">
      <formula>LEFT(I26,LEN("AF"))="AF"</formula>
    </cfRule>
    <cfRule type="beginsWith" dxfId="281" priority="422" operator="beginsWith" text="M-DG">
      <formula>LEFT(I26,LEN("M-DG"))="M-DG"</formula>
    </cfRule>
    <cfRule type="beginsWith" dxfId="280" priority="424" operator="beginsWith" text="M-Kde">
      <formula>LEFT(I26,LEN("M-Kde"))="M-Kde"</formula>
    </cfRule>
  </conditionalFormatting>
  <conditionalFormatting sqref="I26:K27">
    <cfRule type="beginsWith" dxfId="279" priority="348" operator="beginsWith" text="M">
      <formula>LEFT(I26,LEN("M"))="M"</formula>
    </cfRule>
  </conditionalFormatting>
  <conditionalFormatting sqref="I26:K27">
    <cfRule type="beginsWith" dxfId="278" priority="347" operator="beginsWith" text="Is-MB">
      <formula>LEFT(I26,LEN("Is-MB"))="Is-MB"</formula>
    </cfRule>
  </conditionalFormatting>
  <conditionalFormatting sqref="I26:K27">
    <cfRule type="beginsWith" dxfId="277" priority="346" operator="beginsWith" text="Y">
      <formula>LEFT(I26,LEN("Y"))="Y"</formula>
    </cfRule>
  </conditionalFormatting>
  <conditionalFormatting sqref="I26:K27">
    <cfRule type="beginsWith" dxfId="276" priority="345" operator="beginsWith" text="M-FP">
      <formula>LEFT(I26,LEN("M-FP"))="M-FP"</formula>
    </cfRule>
  </conditionalFormatting>
  <conditionalFormatting sqref="I26:K27">
    <cfRule type="beginsWith" dxfId="275" priority="344" operator="beginsWith" text="ME">
      <formula>LEFT(I26,LEN("ME"))="ME"</formula>
    </cfRule>
  </conditionalFormatting>
  <conditionalFormatting sqref="I26:K27">
    <cfRule type="beginsWith" dxfId="274" priority="343" operator="beginsWith" text="ME-TL">
      <formula>LEFT(I26,LEN("ME-TL"))="ME-TL"</formula>
    </cfRule>
  </conditionalFormatting>
  <conditionalFormatting sqref="I26:K27">
    <cfRule type="beginsWith" dxfId="273" priority="342" operator="beginsWith" text="M-W">
      <formula>LEFT(I26,LEN("M-W"))="M-W"</formula>
    </cfRule>
  </conditionalFormatting>
  <conditionalFormatting sqref="I21:K27">
    <cfRule type="expression" dxfId="272" priority="181">
      <formula>$F21="-"</formula>
    </cfRule>
    <cfRule type="expression" dxfId="271" priority="183">
      <formula>I$3=$PQ21</formula>
    </cfRule>
    <cfRule type="expression" dxfId="270" priority="185">
      <formula>I$3=$PO21</formula>
    </cfRule>
    <cfRule type="expression" dxfId="269" priority="187">
      <formula>I$3=$PM21</formula>
    </cfRule>
    <cfRule type="expression" dxfId="268" priority="189">
      <formula>IF(AND(RIGHT(I21,1)=".",LEFT(I21,2)&lt;&gt;"T1",LEFT(I21,2)&lt;&gt;"T2",LEFT(I21,2)&lt;&gt;"T3",LEFT(I21,2)&lt;&gt;"T4",LEFT(I21,2)&lt;&gt;"T5",LEFT(I21,2)&lt;&gt;"T6",LEFT(I21,2)&lt;&gt;"T7",LEFT(I21,2)&lt;&gt;"T8",LEFT(I21,2)&lt;&gt;"T9"),1,0)</formula>
    </cfRule>
    <cfRule type="expression" dxfId="267" priority="191">
      <formula>IF($C21&gt;0,IF(I$4=7,1,0),0)</formula>
    </cfRule>
    <cfRule type="expression" dxfId="266" priority="193">
      <formula>$C21&gt;0</formula>
    </cfRule>
    <cfRule type="expression" dxfId="265" priority="195">
      <formula>IF(OR(I21="T1.",I21="T2.",I21="T3.",I21="T4.",I21="T5.",I21="T6.",I21="T7.",I21="T8.",I21="T9."),1,0)</formula>
    </cfRule>
    <cfRule type="endsWith" dxfId="264" priority="197" operator="endsWith" text="_A">
      <formula>RIGHT(I21,LEN("_A"))="_A"</formula>
    </cfRule>
    <cfRule type="endsWith" dxfId="263" priority="199" operator="endsWith" text="_e">
      <formula>RIGHT(I21,LEN("_e"))="_e"</formula>
    </cfRule>
    <cfRule type="beginsWith" dxfId="262" priority="201" operator="beginsWith" text="ME-TL-AS">
      <formula>LEFT(I21,LEN("ME-TL-AS"))="ME-TL-AS"</formula>
    </cfRule>
    <cfRule type="beginsWith" dxfId="261" priority="203" operator="beginsWith" text="T-AS">
      <formula>LEFT(I21,LEN("T-AS"))="T-AS"</formula>
    </cfRule>
    <cfRule type="beginsWith" dxfId="260" priority="205" operator="beginsWith" text="M-KL">
      <formula>LEFT(I21,LEN("M-KL"))="M-KL"</formula>
    </cfRule>
    <cfRule type="beginsWith" dxfId="259" priority="207" operator="beginsWith" text="Ss">
      <formula>LEFT(I21,LEN("Ss"))="Ss"</formula>
    </cfRule>
    <cfRule type="beginsWith" dxfId="258" priority="209" operator="beginsWith" text="AC">
      <formula>LEFT(I21,LEN("AC"))="AC"</formula>
    </cfRule>
    <cfRule type="beginsWith" dxfId="257" priority="211" operator="beginsWith" text="TT">
      <formula>LEFT(I21,LEN("TT"))="TT"</formula>
    </cfRule>
    <cfRule type="beginsWith" dxfId="256" priority="213" operator="beginsWith" text="S">
      <formula>LEFT(I21,LEN("S"))="S"</formula>
    </cfRule>
    <cfRule type="beginsWith" dxfId="255" priority="215" operator="beginsWith" text="PK">
      <formula>LEFT(I21,LEN("PK"))="PK"</formula>
    </cfRule>
    <cfRule type="beginsWith" dxfId="254" priority="217" operator="beginsWith" text="W">
      <formula>LEFT(I21,LEN("W"))="W"</formula>
    </cfRule>
    <cfRule type="beginsWith" dxfId="253" priority="219" operator="beginsWith" text="Id">
      <formula>LEFT(I21,LEN("Id"))="Id"</formula>
    </cfRule>
    <cfRule type="beginsWith" dxfId="252" priority="221" operator="beginsWith" text="K">
      <formula>LEFT(I21,LEN("K"))="K"</formula>
    </cfRule>
    <cfRule type="beginsWith" dxfId="251" priority="223" operator="beginsWith" text="Is-ME">
      <formula>LEFT(I21,LEN("Is-ME"))="Is-ME"</formula>
    </cfRule>
    <cfRule type="beginsWith" dxfId="250" priority="225" operator="beginsWith" text="Is-Fe">
      <formula>LEFT(I21,LEN("Is-Fe"))="Is-Fe"</formula>
    </cfRule>
    <cfRule type="beginsWith" dxfId="249" priority="227" operator="beginsWith" text="Is">
      <formula>LEFT(I21,LEN("Is"))="Is"</formula>
    </cfRule>
    <cfRule type="beginsWith" dxfId="248" priority="229" operator="beginsWith" text="T">
      <formula>LEFT(I21,LEN("T"))="T"</formula>
    </cfRule>
    <cfRule type="beginsWith" dxfId="247" priority="231" operator="beginsWith" text="Mg">
      <formula>LEFT(I21,LEN("Mg"))="Mg"</formula>
    </cfRule>
    <cfRule type="beginsWith" dxfId="246" priority="233" operator="beginsWith" text="VM">
      <formula>LEFT(I21,LEN("VM"))="VM"</formula>
    </cfRule>
    <cfRule type="beginsWith" dxfId="245" priority="235" operator="beginsWith" text="ZW5">
      <formula>LEFT(I21,LEN("ZW5"))="ZW5"</formula>
    </cfRule>
    <cfRule type="beginsWith" dxfId="244" priority="237" operator="beginsWith" text="ZW3">
      <formula>LEFT(I21,LEN("ZW3"))="ZW3"</formula>
    </cfRule>
    <cfRule type="beginsWith" dxfId="243" priority="239" operator="beginsWith" text="ZW1">
      <formula>LEFT(I21,LEN("ZW1"))="ZW1"</formula>
    </cfRule>
    <cfRule type="beginsWith" dxfId="242" priority="241" operator="beginsWith" text="EW6">
      <formula>LEFT(I21,LEN("EW6"))="EW6"</formula>
    </cfRule>
    <cfRule type="beginsWith" dxfId="241" priority="243" operator="beginsWith" text="EW4">
      <formula>LEFT(I21,LEN("EW4"))="EW4"</formula>
    </cfRule>
    <cfRule type="beginsWith" dxfId="240" priority="245" operator="beginsWith" text="EW2">
      <formula>LEFT(I21,LEN("EW2"))="EW2"</formula>
    </cfRule>
    <cfRule type="beginsWith" dxfId="239" priority="247" operator="beginsWith" text="M-AS">
      <formula>LEFT(I21,LEN("M-AS"))="M-AS"</formula>
    </cfRule>
    <cfRule type="beginsWith" dxfId="238" priority="249" operator="beginsWith" text="TLP">
      <formula>LEFT(I21,LEN("TLP"))="TLP"</formula>
    </cfRule>
    <cfRule type="beginsWith" dxfId="237" priority="251" operator="beginsWith" text="US">
      <formula>LEFT(I21,LEN("US"))="US"</formula>
    </cfRule>
    <cfRule type="beginsWith" dxfId="236" priority="253" operator="beginsWith" text="AS">
      <formula>LEFT(I21,LEN("AS"))="AS"</formula>
    </cfRule>
    <cfRule type="beginsWith" dxfId="235" priority="255" operator="beginsWith" text="M-iW">
      <formula>LEFT(I21,LEN("M-iW"))="M-iW"</formula>
    </cfRule>
    <cfRule type="beginsWith" dxfId="234" priority="257" operator="beginsWith" text="MB">
      <formula>LEFT(I21,LEN("MB"))="MB"</formula>
    </cfRule>
  </conditionalFormatting>
  <conditionalFormatting sqref="I21:K27">
    <cfRule type="expression" dxfId="233" priority="182">
      <formula>$F21="--"</formula>
    </cfRule>
    <cfRule type="expression" dxfId="232" priority="184">
      <formula>I$3=$PP21</formula>
    </cfRule>
    <cfRule type="expression" dxfId="231" priority="186">
      <formula>I$3=$PN21</formula>
    </cfRule>
    <cfRule type="expression" dxfId="230" priority="188">
      <formula>I$3=$PL21</formula>
    </cfRule>
    <cfRule type="expression" dxfId="229" priority="190">
      <formula>IF(I21=0,IF(OR(I$4=6,I$4=7,I$5=1),1,0),0)</formula>
    </cfRule>
    <cfRule type="expression" dxfId="228" priority="192">
      <formula>IF($C21&gt;0,IF(I$4=1,1,0),0)</formula>
    </cfRule>
    <cfRule type="expression" dxfId="227" priority="194">
      <formula>IF(OR(I21="T1..",I21="T2..",I21="T3..",I21="T4..",I21="T5..",I21="T6..",I21="T7..",I21="T8..",I21="T9.."),1,0)</formula>
    </cfRule>
    <cfRule type="expression" dxfId="226" priority="196">
      <formula>IF(OR(I21="T1",I21="T2",I21="T3",I21="T4",I21="T5",I21="T6",I21="T7",I21="T8",I21="T9"),1,0)</formula>
    </cfRule>
    <cfRule type="endsWith" dxfId="225" priority="198" operator="endsWith" text="_x">
      <formula>RIGHT(I21,LEN("_x"))="_x"</formula>
    </cfRule>
    <cfRule type="beginsWith" dxfId="224" priority="200" operator="beginsWith" text="AS-TL">
      <formula>LEFT(I21,LEN("AS-TL"))="AS-TL"</formula>
    </cfRule>
    <cfRule type="beginsWith" dxfId="223" priority="202" operator="beginsWith" text="tbs">
      <formula>LEFT(I21,LEN("tbs"))="tbs"</formula>
    </cfRule>
    <cfRule type="beginsWith" dxfId="222" priority="204" operator="beginsWith" text="TL-AS">
      <formula>LEFT(I21,LEN("TL-AS"))="TL-AS"</formula>
    </cfRule>
    <cfRule type="beginsWith" dxfId="221" priority="206" operator="beginsWith" text="L">
      <formula>LEFT(I21,LEN("L"))="L"</formula>
    </cfRule>
    <cfRule type="beginsWith" dxfId="220" priority="208" operator="beginsWith" text="DC">
      <formula>LEFT(I21,LEN("DC"))="DC"</formula>
    </cfRule>
    <cfRule type="beginsWith" dxfId="219" priority="210" operator="beginsWith" text="FP">
      <formula>LEFT(I21,LEN("FP"))="FP"</formula>
    </cfRule>
    <cfRule type="beginsWith" dxfId="218" priority="212" operator="beginsWith" text="M-TT">
      <formula>LEFT(I21,LEN("M-TT"))="M-TT"</formula>
    </cfRule>
    <cfRule type="beginsWith" dxfId="217" priority="214" operator="beginsWith" text="Ü">
      <formula>LEFT(I21,LEN("Ü"))="Ü"</formula>
    </cfRule>
    <cfRule type="beginsWith" dxfId="216" priority="216" operator="beginsWith" text="iW">
      <formula>LEFT(I21,LEN("iW"))="iW"</formula>
    </cfRule>
    <cfRule type="beginsWith" dxfId="215" priority="218" operator="beginsWith" text="D">
      <formula>LEFT(I21,LEN("D"))="D"</formula>
    </cfRule>
    <cfRule type="beginsWith" dxfId="214" priority="220" operator="beginsWith" text="Kde">
      <formula>LEFT(I21,LEN("Kde"))="Kde"</formula>
    </cfRule>
    <cfRule type="beginsWith" dxfId="213" priority="222" operator="beginsWith" text="P">
      <formula>LEFT(I21,LEN("P"))="P"</formula>
    </cfRule>
    <cfRule type="beginsWith" dxfId="212" priority="224" operator="beginsWith" text="Is-M">
      <formula>LEFT(I21,LEN("Is-M"))="Is-M"</formula>
    </cfRule>
    <cfRule type="beginsWith" dxfId="211" priority="226" operator="beginsWith" text="Is-Id">
      <formula>LEFT(I21,LEN("Is-Id"))="Is-Id"</formula>
    </cfRule>
    <cfRule type="beginsWith" dxfId="210" priority="228" operator="beginsWith" text="M-Is">
      <formula>LEFT(I21,LEN("M-Is"))="M-Is"</formula>
    </cfRule>
    <cfRule type="beginsWith" dxfId="209" priority="230" operator="beginsWith" text="M-Fe">
      <formula>LEFT(I21,LEN("M-Fe"))="M-Fe"</formula>
    </cfRule>
    <cfRule type="beginsWith" dxfId="208" priority="232" operator="beginsWith" text="M-TP">
      <formula>LEFT(I21,LEN("M-TP"))="M-TP"</formula>
    </cfRule>
    <cfRule type="beginsWith" dxfId="207" priority="234" operator="beginsWith" text="ZW6">
      <formula>LEFT(I21,LEN("ZW6"))="ZW6"</formula>
    </cfRule>
    <cfRule type="beginsWith" dxfId="206" priority="236" operator="beginsWith" text="ZW4">
      <formula>LEFT(I21,LEN("ZW4"))="ZW4"</formula>
    </cfRule>
    <cfRule type="beginsWith" dxfId="205" priority="238" operator="beginsWith" text="ZW2">
      <formula>LEFT(I21,LEN("ZW2"))="ZW2"</formula>
    </cfRule>
    <cfRule type="beginsWith" dxfId="204" priority="240" operator="beginsWith" text="ZW0">
      <formula>LEFT(I21,LEN("ZW0"))="ZW0"</formula>
    </cfRule>
    <cfRule type="beginsWith" dxfId="203" priority="242" operator="beginsWith" text="EW5">
      <formula>LEFT(I21,LEN("EW5"))="EW5"</formula>
    </cfRule>
    <cfRule type="beginsWith" dxfId="202" priority="244" operator="beginsWith" text="EW3">
      <formula>LEFT(I21,LEN("EW3"))="EW3"</formula>
    </cfRule>
    <cfRule type="beginsWith" dxfId="201" priority="246" operator="beginsWith" text="EW1">
      <formula>LEFT(I21,LEN("EW1"))="EW1"</formula>
    </cfRule>
    <cfRule type="beginsWith" dxfId="200" priority="248" operator="beginsWith" text="TL-AS">
      <formula>LEFT(I21,LEN("TL-AS"))="TL-AS"</formula>
    </cfRule>
    <cfRule type="beginsWith" dxfId="199" priority="250" operator="beginsWith" text="TL">
      <formula>LEFT(I21,LEN("TL"))="TL"</formula>
    </cfRule>
    <cfRule type="beginsWith" dxfId="198" priority="252" operator="beginsWith" text="AF">
      <formula>LEFT(I21,LEN("AF"))="AF"</formula>
    </cfRule>
    <cfRule type="beginsWith" dxfId="197" priority="254" operator="beginsWith" text="M-DG">
      <formula>LEFT(I21,LEN("M-DG"))="M-DG"</formula>
    </cfRule>
    <cfRule type="beginsWith" dxfId="196" priority="256" operator="beginsWith" text="M-Kde">
      <formula>LEFT(I21,LEN("M-Kde"))="M-Kde"</formula>
    </cfRule>
  </conditionalFormatting>
  <conditionalFormatting sqref="I21:K27">
    <cfRule type="beginsWith" dxfId="195" priority="180" operator="beginsWith" text="M">
      <formula>LEFT(I21,LEN("M"))="M"</formula>
    </cfRule>
  </conditionalFormatting>
  <conditionalFormatting sqref="I21:K27">
    <cfRule type="beginsWith" dxfId="194" priority="179" operator="beginsWith" text="Is-MB">
      <formula>LEFT(I21,LEN("Is-MB"))="Is-MB"</formula>
    </cfRule>
  </conditionalFormatting>
  <conditionalFormatting sqref="I21:K27">
    <cfRule type="beginsWith" dxfId="193" priority="178" operator="beginsWith" text="Y">
      <formula>LEFT(I21,LEN("Y"))="Y"</formula>
    </cfRule>
  </conditionalFormatting>
  <conditionalFormatting sqref="I21:K27">
    <cfRule type="beginsWith" dxfId="192" priority="177" operator="beginsWith" text="M-FP">
      <formula>LEFT(I21,LEN("M-FP"))="M-FP"</formula>
    </cfRule>
  </conditionalFormatting>
  <conditionalFormatting sqref="I21:K27">
    <cfRule type="beginsWith" dxfId="191" priority="176" operator="beginsWith" text="ME">
      <formula>LEFT(I21,LEN("ME"))="ME"</formula>
    </cfRule>
  </conditionalFormatting>
  <conditionalFormatting sqref="I21:K27">
    <cfRule type="beginsWith" dxfId="190" priority="175" operator="beginsWith" text="ME-TL">
      <formula>LEFT(I21,LEN("ME-TL"))="ME-TL"</formula>
    </cfRule>
  </conditionalFormatting>
  <conditionalFormatting sqref="I21:K27">
    <cfRule type="beginsWith" dxfId="189" priority="174" operator="beginsWith" text="M-W">
      <formula>LEFT(I21,LEN("M-W"))="M-W"</formula>
    </cfRule>
  </conditionalFormatting>
  <conditionalFormatting sqref="I33:K49">
    <cfRule type="expression" dxfId="188" priority="97">
      <formula>$F33="-"</formula>
    </cfRule>
    <cfRule type="expression" dxfId="187" priority="99">
      <formula>I$3=$PQ33</formula>
    </cfRule>
    <cfRule type="expression" dxfId="186" priority="101">
      <formula>I$3=$PO33</formula>
    </cfRule>
    <cfRule type="expression" dxfId="185" priority="103">
      <formula>I$3=$PM33</formula>
    </cfRule>
    <cfRule type="expression" dxfId="184" priority="105">
      <formula>IF(AND(RIGHT(I33,1)=".",LEFT(I33,2)&lt;&gt;"T1",LEFT(I33,2)&lt;&gt;"T2",LEFT(I33,2)&lt;&gt;"T3",LEFT(I33,2)&lt;&gt;"T4",LEFT(I33,2)&lt;&gt;"T5",LEFT(I33,2)&lt;&gt;"T6",LEFT(I33,2)&lt;&gt;"T7",LEFT(I33,2)&lt;&gt;"T8",LEFT(I33,2)&lt;&gt;"T9"),1,0)</formula>
    </cfRule>
    <cfRule type="expression" dxfId="183" priority="107">
      <formula>IF($C33&gt;0,IF(I$4=7,1,0),0)</formula>
    </cfRule>
    <cfRule type="expression" dxfId="182" priority="109">
      <formula>$C33&gt;0</formula>
    </cfRule>
    <cfRule type="expression" dxfId="181" priority="111">
      <formula>IF(OR(I33="T1.",I33="T2.",I33="T3.",I33="T4.",I33="T5.",I33="T6.",I33="T7.",I33="T8.",I33="T9."),1,0)</formula>
    </cfRule>
    <cfRule type="endsWith" dxfId="180" priority="113" operator="endsWith" text="_A">
      <formula>RIGHT(I33,LEN("_A"))="_A"</formula>
    </cfRule>
    <cfRule type="endsWith" dxfId="179" priority="115" operator="endsWith" text="_e">
      <formula>RIGHT(I33,LEN("_e"))="_e"</formula>
    </cfRule>
    <cfRule type="beginsWith" dxfId="178" priority="117" operator="beginsWith" text="ME-TL-AS">
      <formula>LEFT(I33,LEN("ME-TL-AS"))="ME-TL-AS"</formula>
    </cfRule>
    <cfRule type="beginsWith" dxfId="177" priority="119" operator="beginsWith" text="T-AS">
      <formula>LEFT(I33,LEN("T-AS"))="T-AS"</formula>
    </cfRule>
    <cfRule type="beginsWith" dxfId="176" priority="121" operator="beginsWith" text="M-KL">
      <formula>LEFT(I33,LEN("M-KL"))="M-KL"</formula>
    </cfRule>
    <cfRule type="beginsWith" dxfId="175" priority="123" operator="beginsWith" text="Ss">
      <formula>LEFT(I33,LEN("Ss"))="Ss"</formula>
    </cfRule>
    <cfRule type="beginsWith" dxfId="174" priority="125" operator="beginsWith" text="AC">
      <formula>LEFT(I33,LEN("AC"))="AC"</formula>
    </cfRule>
    <cfRule type="beginsWith" dxfId="173" priority="127" operator="beginsWith" text="TT">
      <formula>LEFT(I33,LEN("TT"))="TT"</formula>
    </cfRule>
    <cfRule type="beginsWith" dxfId="172" priority="129" operator="beginsWith" text="S">
      <formula>LEFT(I33,LEN("S"))="S"</formula>
    </cfRule>
    <cfRule type="beginsWith" dxfId="171" priority="131" operator="beginsWith" text="PK">
      <formula>LEFT(I33,LEN("PK"))="PK"</formula>
    </cfRule>
    <cfRule type="beginsWith" dxfId="170" priority="133" operator="beginsWith" text="W">
      <formula>LEFT(I33,LEN("W"))="W"</formula>
    </cfRule>
    <cfRule type="beginsWith" dxfId="169" priority="135" operator="beginsWith" text="Id">
      <formula>LEFT(I33,LEN("Id"))="Id"</formula>
    </cfRule>
    <cfRule type="beginsWith" dxfId="168" priority="137" operator="beginsWith" text="K">
      <formula>LEFT(I33,LEN("K"))="K"</formula>
    </cfRule>
    <cfRule type="beginsWith" dxfId="167" priority="139" operator="beginsWith" text="Is-ME">
      <formula>LEFT(I33,LEN("Is-ME"))="Is-ME"</formula>
    </cfRule>
    <cfRule type="beginsWith" dxfId="166" priority="141" operator="beginsWith" text="Is-Fe">
      <formula>LEFT(I33,LEN("Is-Fe"))="Is-Fe"</formula>
    </cfRule>
    <cfRule type="beginsWith" dxfId="165" priority="143" operator="beginsWith" text="Is">
      <formula>LEFT(I33,LEN("Is"))="Is"</formula>
    </cfRule>
    <cfRule type="beginsWith" dxfId="164" priority="145" operator="beginsWith" text="T">
      <formula>LEFT(I33,LEN("T"))="T"</formula>
    </cfRule>
    <cfRule type="beginsWith" dxfId="163" priority="147" operator="beginsWith" text="Mg">
      <formula>LEFT(I33,LEN("Mg"))="Mg"</formula>
    </cfRule>
    <cfRule type="beginsWith" dxfId="162" priority="149" operator="beginsWith" text="VM">
      <formula>LEFT(I33,LEN("VM"))="VM"</formula>
    </cfRule>
    <cfRule type="beginsWith" dxfId="161" priority="151" operator="beginsWith" text="ZW5">
      <formula>LEFT(I33,LEN("ZW5"))="ZW5"</formula>
    </cfRule>
    <cfRule type="beginsWith" dxfId="160" priority="153" operator="beginsWith" text="ZW3">
      <formula>LEFT(I33,LEN("ZW3"))="ZW3"</formula>
    </cfRule>
    <cfRule type="beginsWith" dxfId="159" priority="155" operator="beginsWith" text="ZW1">
      <formula>LEFT(I33,LEN("ZW1"))="ZW1"</formula>
    </cfRule>
    <cfRule type="beginsWith" dxfId="158" priority="157" operator="beginsWith" text="EW6">
      <formula>LEFT(I33,LEN("EW6"))="EW6"</formula>
    </cfRule>
    <cfRule type="beginsWith" dxfId="157" priority="159" operator="beginsWith" text="EW4">
      <formula>LEFT(I33,LEN("EW4"))="EW4"</formula>
    </cfRule>
    <cfRule type="beginsWith" dxfId="156" priority="161" operator="beginsWith" text="EW2">
      <formula>LEFT(I33,LEN("EW2"))="EW2"</formula>
    </cfRule>
    <cfRule type="beginsWith" dxfId="155" priority="163" operator="beginsWith" text="M-AS">
      <formula>LEFT(I33,LEN("M-AS"))="M-AS"</formula>
    </cfRule>
    <cfRule type="beginsWith" dxfId="154" priority="165" operator="beginsWith" text="TLP">
      <formula>LEFT(I33,LEN("TLP"))="TLP"</formula>
    </cfRule>
    <cfRule type="beginsWith" dxfId="153" priority="167" operator="beginsWith" text="US">
      <formula>LEFT(I33,LEN("US"))="US"</formula>
    </cfRule>
    <cfRule type="beginsWith" dxfId="152" priority="169" operator="beginsWith" text="AS">
      <formula>LEFT(I33,LEN("AS"))="AS"</formula>
    </cfRule>
    <cfRule type="beginsWith" dxfId="151" priority="171" operator="beginsWith" text="M-iW">
      <formula>LEFT(I33,LEN("M-iW"))="M-iW"</formula>
    </cfRule>
    <cfRule type="beginsWith" dxfId="150" priority="173" operator="beginsWith" text="MB">
      <formula>LEFT(I33,LEN("MB"))="MB"</formula>
    </cfRule>
  </conditionalFormatting>
  <conditionalFormatting sqref="I33:K49">
    <cfRule type="expression" dxfId="149" priority="98">
      <formula>$F33="--"</formula>
    </cfRule>
    <cfRule type="expression" dxfId="148" priority="100">
      <formula>I$3=$PP33</formula>
    </cfRule>
    <cfRule type="expression" dxfId="147" priority="102">
      <formula>I$3=$PN33</formula>
    </cfRule>
    <cfRule type="expression" dxfId="146" priority="104">
      <formula>I$3=$PL33</formula>
    </cfRule>
    <cfRule type="expression" dxfId="145" priority="106">
      <formula>IF(I33=0,IF(OR(I$4=6,I$4=7,I$5=1),1,0),0)</formula>
    </cfRule>
    <cfRule type="expression" dxfId="144" priority="108">
      <formula>IF($C33&gt;0,IF(I$4=1,1,0),0)</formula>
    </cfRule>
    <cfRule type="expression" dxfId="143" priority="110">
      <formula>IF(OR(I33="T1..",I33="T2..",I33="T3..",I33="T4..",I33="T5..",I33="T6..",I33="T7..",I33="T8..",I33="T9.."),1,0)</formula>
    </cfRule>
    <cfRule type="expression" dxfId="142" priority="112">
      <formula>IF(OR(I33="T1",I33="T2",I33="T3",I33="T4",I33="T5",I33="T6",I33="T7",I33="T8",I33="T9"),1,0)</formula>
    </cfRule>
    <cfRule type="endsWith" dxfId="141" priority="114" operator="endsWith" text="_x">
      <formula>RIGHT(I33,LEN("_x"))="_x"</formula>
    </cfRule>
    <cfRule type="beginsWith" dxfId="140" priority="116" operator="beginsWith" text="AS-TL">
      <formula>LEFT(I33,LEN("AS-TL"))="AS-TL"</formula>
    </cfRule>
    <cfRule type="beginsWith" dxfId="139" priority="118" operator="beginsWith" text="tbs">
      <formula>LEFT(I33,LEN("tbs"))="tbs"</formula>
    </cfRule>
    <cfRule type="beginsWith" dxfId="138" priority="120" operator="beginsWith" text="TL-AS">
      <formula>LEFT(I33,LEN("TL-AS"))="TL-AS"</formula>
    </cfRule>
    <cfRule type="beginsWith" dxfId="137" priority="122" operator="beginsWith" text="L">
      <formula>LEFT(I33,LEN("L"))="L"</formula>
    </cfRule>
    <cfRule type="beginsWith" dxfId="136" priority="124" operator="beginsWith" text="DC">
      <formula>LEFT(I33,LEN("DC"))="DC"</formula>
    </cfRule>
    <cfRule type="beginsWith" dxfId="135" priority="126" operator="beginsWith" text="FP">
      <formula>LEFT(I33,LEN("FP"))="FP"</formula>
    </cfRule>
    <cfRule type="beginsWith" dxfId="134" priority="128" operator="beginsWith" text="M-TT">
      <formula>LEFT(I33,LEN("M-TT"))="M-TT"</formula>
    </cfRule>
    <cfRule type="beginsWith" dxfId="133" priority="130" operator="beginsWith" text="Ü">
      <formula>LEFT(I33,LEN("Ü"))="Ü"</formula>
    </cfRule>
    <cfRule type="beginsWith" dxfId="132" priority="132" operator="beginsWith" text="iW">
      <formula>LEFT(I33,LEN("iW"))="iW"</formula>
    </cfRule>
    <cfRule type="beginsWith" dxfId="131" priority="134" operator="beginsWith" text="D">
      <formula>LEFT(I33,LEN("D"))="D"</formula>
    </cfRule>
    <cfRule type="beginsWith" dxfId="130" priority="136" operator="beginsWith" text="Kde">
      <formula>LEFT(I33,LEN("Kde"))="Kde"</formula>
    </cfRule>
    <cfRule type="beginsWith" dxfId="129" priority="138" operator="beginsWith" text="P">
      <formula>LEFT(I33,LEN("P"))="P"</formula>
    </cfRule>
    <cfRule type="beginsWith" dxfId="128" priority="140" operator="beginsWith" text="Is-M">
      <formula>LEFT(I33,LEN("Is-M"))="Is-M"</formula>
    </cfRule>
    <cfRule type="beginsWith" dxfId="127" priority="142" operator="beginsWith" text="Is-Id">
      <formula>LEFT(I33,LEN("Is-Id"))="Is-Id"</formula>
    </cfRule>
    <cfRule type="beginsWith" dxfId="126" priority="144" operator="beginsWith" text="M-Is">
      <formula>LEFT(I33,LEN("M-Is"))="M-Is"</formula>
    </cfRule>
    <cfRule type="beginsWith" dxfId="125" priority="146" operator="beginsWith" text="M-Fe">
      <formula>LEFT(I33,LEN("M-Fe"))="M-Fe"</formula>
    </cfRule>
    <cfRule type="beginsWith" dxfId="124" priority="148" operator="beginsWith" text="M-TP">
      <formula>LEFT(I33,LEN("M-TP"))="M-TP"</formula>
    </cfRule>
    <cfRule type="beginsWith" dxfId="123" priority="150" operator="beginsWith" text="ZW6">
      <formula>LEFT(I33,LEN("ZW6"))="ZW6"</formula>
    </cfRule>
    <cfRule type="beginsWith" dxfId="122" priority="152" operator="beginsWith" text="ZW4">
      <formula>LEFT(I33,LEN("ZW4"))="ZW4"</formula>
    </cfRule>
    <cfRule type="beginsWith" dxfId="121" priority="154" operator="beginsWith" text="ZW2">
      <formula>LEFT(I33,LEN("ZW2"))="ZW2"</formula>
    </cfRule>
    <cfRule type="beginsWith" dxfId="120" priority="156" operator="beginsWith" text="ZW0">
      <formula>LEFT(I33,LEN("ZW0"))="ZW0"</formula>
    </cfRule>
    <cfRule type="beginsWith" dxfId="119" priority="158" operator="beginsWith" text="EW5">
      <formula>LEFT(I33,LEN("EW5"))="EW5"</formula>
    </cfRule>
    <cfRule type="beginsWith" dxfId="118" priority="160" operator="beginsWith" text="EW3">
      <formula>LEFT(I33,LEN("EW3"))="EW3"</formula>
    </cfRule>
    <cfRule type="beginsWith" dxfId="117" priority="162" operator="beginsWith" text="EW1">
      <formula>LEFT(I33,LEN("EW1"))="EW1"</formula>
    </cfRule>
    <cfRule type="beginsWith" dxfId="116" priority="164" operator="beginsWith" text="TL-AS">
      <formula>LEFT(I33,LEN("TL-AS"))="TL-AS"</formula>
    </cfRule>
    <cfRule type="beginsWith" dxfId="115" priority="166" operator="beginsWith" text="TL">
      <formula>LEFT(I33,LEN("TL"))="TL"</formula>
    </cfRule>
    <cfRule type="beginsWith" dxfId="114" priority="168" operator="beginsWith" text="AF">
      <formula>LEFT(I33,LEN("AF"))="AF"</formula>
    </cfRule>
    <cfRule type="beginsWith" dxfId="113" priority="170" operator="beginsWith" text="M-DG">
      <formula>LEFT(I33,LEN("M-DG"))="M-DG"</formula>
    </cfRule>
    <cfRule type="beginsWith" dxfId="112" priority="172" operator="beginsWith" text="M-Kde">
      <formula>LEFT(I33,LEN("M-Kde"))="M-Kde"</formula>
    </cfRule>
  </conditionalFormatting>
  <conditionalFormatting sqref="I33:K49">
    <cfRule type="beginsWith" dxfId="111" priority="96" operator="beginsWith" text="M">
      <formula>LEFT(I33,LEN("M"))="M"</formula>
    </cfRule>
  </conditionalFormatting>
  <conditionalFormatting sqref="I33:K49">
    <cfRule type="beginsWith" dxfId="110" priority="95" operator="beginsWith" text="Is-MB">
      <formula>LEFT(I33,LEN("Is-MB"))="Is-MB"</formula>
    </cfRule>
  </conditionalFormatting>
  <conditionalFormatting sqref="I33:K49">
    <cfRule type="beginsWith" dxfId="109" priority="94" operator="beginsWith" text="Y">
      <formula>LEFT(I33,LEN("Y"))="Y"</formula>
    </cfRule>
  </conditionalFormatting>
  <conditionalFormatting sqref="I33:K49">
    <cfRule type="beginsWith" dxfId="108" priority="93" operator="beginsWith" text="M-FP">
      <formula>LEFT(I33,LEN("M-FP"))="M-FP"</formula>
    </cfRule>
  </conditionalFormatting>
  <conditionalFormatting sqref="I33:K49">
    <cfRule type="beginsWith" dxfId="107" priority="92" operator="beginsWith" text="ME">
      <formula>LEFT(I33,LEN("ME"))="ME"</formula>
    </cfRule>
  </conditionalFormatting>
  <conditionalFormatting sqref="I33:K49">
    <cfRule type="beginsWith" dxfId="106" priority="91" operator="beginsWith" text="ME-TL">
      <formula>LEFT(I33,LEN("ME-TL"))="ME-TL"</formula>
    </cfRule>
  </conditionalFormatting>
  <conditionalFormatting sqref="I33:K49">
    <cfRule type="beginsWith" dxfId="105" priority="90" operator="beginsWith" text="M-W">
      <formula>LEFT(I33,LEN("M-W"))="M-W"</formula>
    </cfRule>
  </conditionalFormatting>
  <conditionalFormatting sqref="N13:R39">
    <cfRule type="expression" dxfId="104" priority="13">
      <formula>$F13="-"</formula>
    </cfRule>
    <cfRule type="expression" dxfId="103" priority="15">
      <formula>N$3=$PQ13</formula>
    </cfRule>
    <cfRule type="expression" dxfId="102" priority="17">
      <formula>N$3=$PO13</formula>
    </cfRule>
    <cfRule type="expression" dxfId="101" priority="19">
      <formula>N$3=$PM13</formula>
    </cfRule>
    <cfRule type="expression" dxfId="100" priority="21">
      <formula>IF(AND(RIGHT(N13,1)=".",LEFT(N13,2)&lt;&gt;"T1",LEFT(N13,2)&lt;&gt;"T2",LEFT(N13,2)&lt;&gt;"T3",LEFT(N13,2)&lt;&gt;"T4",LEFT(N13,2)&lt;&gt;"T5",LEFT(N13,2)&lt;&gt;"T6",LEFT(N13,2)&lt;&gt;"T7",LEFT(N13,2)&lt;&gt;"T8",LEFT(N13,2)&lt;&gt;"T9"),1,0)</formula>
    </cfRule>
    <cfRule type="expression" dxfId="99" priority="23">
      <formula>IF($C13&gt;0,IF(N$4=7,1,0),0)</formula>
    </cfRule>
    <cfRule type="expression" dxfId="98" priority="25">
      <formula>$C13&gt;0</formula>
    </cfRule>
    <cfRule type="expression" dxfId="97" priority="27">
      <formula>IF(OR(N13="T1.",N13="T2.",N13="T3.",N13="T4.",N13="T5.",N13="T6.",N13="T7.",N13="T8.",N13="T9."),1,0)</formula>
    </cfRule>
    <cfRule type="endsWith" dxfId="96" priority="29" operator="endsWith" text="_A">
      <formula>RIGHT(N13,LEN("_A"))="_A"</formula>
    </cfRule>
    <cfRule type="endsWith" dxfId="95" priority="31" operator="endsWith" text="_e">
      <formula>RIGHT(N13,LEN("_e"))="_e"</formula>
    </cfRule>
    <cfRule type="beginsWith" dxfId="94" priority="33" operator="beginsWith" text="ME-TL-AS">
      <formula>LEFT(N13,LEN("ME-TL-AS"))="ME-TL-AS"</formula>
    </cfRule>
    <cfRule type="beginsWith" dxfId="93" priority="35" operator="beginsWith" text="T-AS">
      <formula>LEFT(N13,LEN("T-AS"))="T-AS"</formula>
    </cfRule>
    <cfRule type="beginsWith" dxfId="92" priority="37" operator="beginsWith" text="M-KL">
      <formula>LEFT(N13,LEN("M-KL"))="M-KL"</formula>
    </cfRule>
    <cfRule type="beginsWith" dxfId="91" priority="39" operator="beginsWith" text="Ss">
      <formula>LEFT(N13,LEN("Ss"))="Ss"</formula>
    </cfRule>
    <cfRule type="beginsWith" dxfId="90" priority="41" operator="beginsWith" text="AC">
      <formula>LEFT(N13,LEN("AC"))="AC"</formula>
    </cfRule>
    <cfRule type="beginsWith" dxfId="89" priority="43" operator="beginsWith" text="TT">
      <formula>LEFT(N13,LEN("TT"))="TT"</formula>
    </cfRule>
    <cfRule type="beginsWith" dxfId="88" priority="45" operator="beginsWith" text="S">
      <formula>LEFT(N13,LEN("S"))="S"</formula>
    </cfRule>
    <cfRule type="beginsWith" dxfId="87" priority="47" operator="beginsWith" text="PK">
      <formula>LEFT(N13,LEN("PK"))="PK"</formula>
    </cfRule>
    <cfRule type="beginsWith" dxfId="86" priority="49" operator="beginsWith" text="W">
      <formula>LEFT(N13,LEN("W"))="W"</formula>
    </cfRule>
    <cfRule type="beginsWith" dxfId="85" priority="51" operator="beginsWith" text="Id">
      <formula>LEFT(N13,LEN("Id"))="Id"</formula>
    </cfRule>
    <cfRule type="beginsWith" dxfId="84" priority="53" operator="beginsWith" text="K">
      <formula>LEFT(N13,LEN("K"))="K"</formula>
    </cfRule>
    <cfRule type="beginsWith" dxfId="83" priority="55" operator="beginsWith" text="Is-ME">
      <formula>LEFT(N13,LEN("Is-ME"))="Is-ME"</formula>
    </cfRule>
    <cfRule type="beginsWith" dxfId="82" priority="57" operator="beginsWith" text="Is-Fe">
      <formula>LEFT(N13,LEN("Is-Fe"))="Is-Fe"</formula>
    </cfRule>
    <cfRule type="beginsWith" dxfId="81" priority="59" operator="beginsWith" text="Is">
      <formula>LEFT(N13,LEN("Is"))="Is"</formula>
    </cfRule>
    <cfRule type="beginsWith" dxfId="80" priority="61" operator="beginsWith" text="T">
      <formula>LEFT(N13,LEN("T"))="T"</formula>
    </cfRule>
    <cfRule type="beginsWith" dxfId="79" priority="63" operator="beginsWith" text="Mg">
      <formula>LEFT(N13,LEN("Mg"))="Mg"</formula>
    </cfRule>
    <cfRule type="beginsWith" dxfId="78" priority="65" operator="beginsWith" text="VM">
      <formula>LEFT(N13,LEN("VM"))="VM"</formula>
    </cfRule>
    <cfRule type="beginsWith" dxfId="77" priority="67" operator="beginsWith" text="ZW5">
      <formula>LEFT(N13,LEN("ZW5"))="ZW5"</formula>
    </cfRule>
    <cfRule type="beginsWith" dxfId="76" priority="69" operator="beginsWith" text="ZW3">
      <formula>LEFT(N13,LEN("ZW3"))="ZW3"</formula>
    </cfRule>
    <cfRule type="beginsWith" dxfId="75" priority="71" operator="beginsWith" text="ZW1">
      <formula>LEFT(N13,LEN("ZW1"))="ZW1"</formula>
    </cfRule>
    <cfRule type="beginsWith" dxfId="74" priority="73" operator="beginsWith" text="EW6">
      <formula>LEFT(N13,LEN("EW6"))="EW6"</formula>
    </cfRule>
    <cfRule type="beginsWith" dxfId="73" priority="75" operator="beginsWith" text="EW4">
      <formula>LEFT(N13,LEN("EW4"))="EW4"</formula>
    </cfRule>
    <cfRule type="beginsWith" dxfId="72" priority="77" operator="beginsWith" text="EW2">
      <formula>LEFT(N13,LEN("EW2"))="EW2"</formula>
    </cfRule>
    <cfRule type="beginsWith" dxfId="71" priority="79" operator="beginsWith" text="M-AS">
      <formula>LEFT(N13,LEN("M-AS"))="M-AS"</formula>
    </cfRule>
    <cfRule type="beginsWith" dxfId="70" priority="81" operator="beginsWith" text="TLP">
      <formula>LEFT(N13,LEN("TLP"))="TLP"</formula>
    </cfRule>
    <cfRule type="beginsWith" dxfId="69" priority="83" operator="beginsWith" text="US">
      <formula>LEFT(N13,LEN("US"))="US"</formula>
    </cfRule>
    <cfRule type="beginsWith" dxfId="68" priority="85" operator="beginsWith" text="AS">
      <formula>LEFT(N13,LEN("AS"))="AS"</formula>
    </cfRule>
    <cfRule type="beginsWith" dxfId="67" priority="87" operator="beginsWith" text="M-iW">
      <formula>LEFT(N13,LEN("M-iW"))="M-iW"</formula>
    </cfRule>
    <cfRule type="beginsWith" dxfId="66" priority="89" operator="beginsWith" text="MB">
      <formula>LEFT(N13,LEN("MB"))="MB"</formula>
    </cfRule>
  </conditionalFormatting>
  <conditionalFormatting sqref="N13:R39">
    <cfRule type="expression" dxfId="65" priority="14">
      <formula>$F13="--"</formula>
    </cfRule>
    <cfRule type="expression" dxfId="64" priority="16">
      <formula>N$3=$PP13</formula>
    </cfRule>
    <cfRule type="expression" dxfId="63" priority="18">
      <formula>N$3=$PN13</formula>
    </cfRule>
    <cfRule type="expression" dxfId="62" priority="20">
      <formula>N$3=$PL13</formula>
    </cfRule>
    <cfRule type="expression" dxfId="61" priority="22">
      <formula>IF(N13=0,IF(OR(N$4=6,N$4=7,N$5=1),1,0),0)</formula>
    </cfRule>
    <cfRule type="expression" dxfId="60" priority="24">
      <formula>IF($C13&gt;0,IF(N$4=1,1,0),0)</formula>
    </cfRule>
    <cfRule type="expression" dxfId="59" priority="26">
      <formula>IF(OR(N13="T1..",N13="T2..",N13="T3..",N13="T4..",N13="T5..",N13="T6..",N13="T7..",N13="T8..",N13="T9.."),1,0)</formula>
    </cfRule>
    <cfRule type="expression" dxfId="58" priority="28">
      <formula>IF(OR(N13="T1",N13="T2",N13="T3",N13="T4",N13="T5",N13="T6",N13="T7",N13="T8",N13="T9"),1,0)</formula>
    </cfRule>
    <cfRule type="endsWith" dxfId="57" priority="30" operator="endsWith" text="_x">
      <formula>RIGHT(N13,LEN("_x"))="_x"</formula>
    </cfRule>
    <cfRule type="beginsWith" dxfId="56" priority="32" operator="beginsWith" text="AS-TL">
      <formula>LEFT(N13,LEN("AS-TL"))="AS-TL"</formula>
    </cfRule>
    <cfRule type="beginsWith" dxfId="55" priority="34" operator="beginsWith" text="tbs">
      <formula>LEFT(N13,LEN("tbs"))="tbs"</formula>
    </cfRule>
    <cfRule type="beginsWith" dxfId="54" priority="36" operator="beginsWith" text="TL-AS">
      <formula>LEFT(N13,LEN("TL-AS"))="TL-AS"</formula>
    </cfRule>
    <cfRule type="beginsWith" dxfId="53" priority="38" operator="beginsWith" text="L">
      <formula>LEFT(N13,LEN("L"))="L"</formula>
    </cfRule>
    <cfRule type="beginsWith" dxfId="52" priority="40" operator="beginsWith" text="DC">
      <formula>LEFT(N13,LEN("DC"))="DC"</formula>
    </cfRule>
    <cfRule type="beginsWith" dxfId="51" priority="42" operator="beginsWith" text="FP">
      <formula>LEFT(N13,LEN("FP"))="FP"</formula>
    </cfRule>
    <cfRule type="beginsWith" dxfId="50" priority="44" operator="beginsWith" text="M-TT">
      <formula>LEFT(N13,LEN("M-TT"))="M-TT"</formula>
    </cfRule>
    <cfRule type="beginsWith" dxfId="49" priority="46" operator="beginsWith" text="Ü">
      <formula>LEFT(N13,LEN("Ü"))="Ü"</formula>
    </cfRule>
    <cfRule type="beginsWith" dxfId="48" priority="48" operator="beginsWith" text="iW">
      <formula>LEFT(N13,LEN("iW"))="iW"</formula>
    </cfRule>
    <cfRule type="beginsWith" dxfId="47" priority="50" operator="beginsWith" text="D">
      <formula>LEFT(N13,LEN("D"))="D"</formula>
    </cfRule>
    <cfRule type="beginsWith" dxfId="46" priority="52" operator="beginsWith" text="Kde">
      <formula>LEFT(N13,LEN("Kde"))="Kde"</formula>
    </cfRule>
    <cfRule type="beginsWith" dxfId="45" priority="54" operator="beginsWith" text="P">
      <formula>LEFT(N13,LEN("P"))="P"</formula>
    </cfRule>
    <cfRule type="beginsWith" dxfId="44" priority="56" operator="beginsWith" text="Is-M">
      <formula>LEFT(N13,LEN("Is-M"))="Is-M"</formula>
    </cfRule>
    <cfRule type="beginsWith" dxfId="43" priority="58" operator="beginsWith" text="Is-Id">
      <formula>LEFT(N13,LEN("Is-Id"))="Is-Id"</formula>
    </cfRule>
    <cfRule type="beginsWith" dxfId="42" priority="60" operator="beginsWith" text="M-Is">
      <formula>LEFT(N13,LEN("M-Is"))="M-Is"</formula>
    </cfRule>
    <cfRule type="beginsWith" dxfId="41" priority="62" operator="beginsWith" text="M-Fe">
      <formula>LEFT(N13,LEN("M-Fe"))="M-Fe"</formula>
    </cfRule>
    <cfRule type="beginsWith" dxfId="40" priority="64" operator="beginsWith" text="M-TP">
      <formula>LEFT(N13,LEN("M-TP"))="M-TP"</formula>
    </cfRule>
    <cfRule type="beginsWith" dxfId="39" priority="66" operator="beginsWith" text="ZW6">
      <formula>LEFT(N13,LEN("ZW6"))="ZW6"</formula>
    </cfRule>
    <cfRule type="beginsWith" dxfId="38" priority="68" operator="beginsWith" text="ZW4">
      <formula>LEFT(N13,LEN("ZW4"))="ZW4"</formula>
    </cfRule>
    <cfRule type="beginsWith" dxfId="37" priority="70" operator="beginsWith" text="ZW2">
      <formula>LEFT(N13,LEN("ZW2"))="ZW2"</formula>
    </cfRule>
    <cfRule type="beginsWith" dxfId="36" priority="72" operator="beginsWith" text="ZW0">
      <formula>LEFT(N13,LEN("ZW0"))="ZW0"</formula>
    </cfRule>
    <cfRule type="beginsWith" dxfId="35" priority="74" operator="beginsWith" text="EW5">
      <formula>LEFT(N13,LEN("EW5"))="EW5"</formula>
    </cfRule>
    <cfRule type="beginsWith" dxfId="34" priority="76" operator="beginsWith" text="EW3">
      <formula>LEFT(N13,LEN("EW3"))="EW3"</formula>
    </cfRule>
    <cfRule type="beginsWith" dxfId="33" priority="78" operator="beginsWith" text="EW1">
      <formula>LEFT(N13,LEN("EW1"))="EW1"</formula>
    </cfRule>
    <cfRule type="beginsWith" dxfId="32" priority="80" operator="beginsWith" text="TL-AS">
      <formula>LEFT(N13,LEN("TL-AS"))="TL-AS"</formula>
    </cfRule>
    <cfRule type="beginsWith" dxfId="31" priority="82" operator="beginsWith" text="TL">
      <formula>LEFT(N13,LEN("TL"))="TL"</formula>
    </cfRule>
    <cfRule type="beginsWith" dxfId="30" priority="84" operator="beginsWith" text="AF">
      <formula>LEFT(N13,LEN("AF"))="AF"</formula>
    </cfRule>
    <cfRule type="beginsWith" dxfId="29" priority="86" operator="beginsWith" text="M-DG">
      <formula>LEFT(N13,LEN("M-DG"))="M-DG"</formula>
    </cfRule>
    <cfRule type="beginsWith" dxfId="28" priority="88" operator="beginsWith" text="M-Kde">
      <formula>LEFT(N13,LEN("M-Kde"))="M-Kde"</formula>
    </cfRule>
  </conditionalFormatting>
  <conditionalFormatting sqref="N13:R39">
    <cfRule type="beginsWith" dxfId="27" priority="12" operator="beginsWith" text="M">
      <formula>LEFT(N13,LEN("M"))="M"</formula>
    </cfRule>
  </conditionalFormatting>
  <conditionalFormatting sqref="N13:R39">
    <cfRule type="beginsWith" dxfId="26" priority="11" operator="beginsWith" text="Is-MB">
      <formula>LEFT(N13,LEN("Is-MB"))="Is-MB"</formula>
    </cfRule>
  </conditionalFormatting>
  <conditionalFormatting sqref="N13:R39">
    <cfRule type="beginsWith" dxfId="25" priority="10" operator="beginsWith" text="Y">
      <formula>LEFT(N13,LEN("Y"))="Y"</formula>
    </cfRule>
  </conditionalFormatting>
  <conditionalFormatting sqref="N13:R39">
    <cfRule type="beginsWith" dxfId="24" priority="9" operator="beginsWith" text="M-FP">
      <formula>LEFT(N13,LEN("M-FP"))="M-FP"</formula>
    </cfRule>
  </conditionalFormatting>
  <conditionalFormatting sqref="N13:R39">
    <cfRule type="beginsWith" dxfId="23" priority="8" operator="beginsWith" text="ME">
      <formula>LEFT(N13,LEN("ME"))="ME"</formula>
    </cfRule>
  </conditionalFormatting>
  <conditionalFormatting sqref="N13:R39">
    <cfRule type="beginsWith" dxfId="22" priority="7" operator="beginsWith" text="ME-TL">
      <formula>LEFT(N13,LEN("ME-TL"))="ME-TL"</formula>
    </cfRule>
  </conditionalFormatting>
  <conditionalFormatting sqref="N13:R39">
    <cfRule type="beginsWith" dxfId="21" priority="6" operator="beginsWith" text="M-W">
      <formula>LEFT(N13,LEN("M-W"))="M-W"</formula>
    </cfRule>
  </conditionalFormatting>
  <conditionalFormatting sqref="B39">
    <cfRule type="expression" dxfId="18" priority="5">
      <formula>IF(AND($A39=$A41,#REF!=#REF!,$B39=$B41),0,1)</formula>
    </cfRule>
  </conditionalFormatting>
  <conditionalFormatting sqref="B37">
    <cfRule type="expression" dxfId="16" priority="4">
      <formula>IF(AND($A37=$A38,#REF!=#REF!,$B37=$B38),0,1)</formula>
    </cfRule>
  </conditionalFormatting>
  <conditionalFormatting sqref="B37">
    <cfRule type="expression" dxfId="12" priority="3">
      <formula>IF(AND($A37=$A39,#REF!=#REF!,$B37=$B39),0,1)</formula>
    </cfRule>
  </conditionalFormatting>
  <conditionalFormatting sqref="B61">
    <cfRule type="expression" dxfId="7" priority="2">
      <formula>IF(AND($A61=$A62,#REF!=#REF!,$B61=$B62),0,1)</formula>
    </cfRule>
  </conditionalFormatting>
  <conditionalFormatting sqref="B79">
    <cfRule type="expression" dxfId="1" priority="1">
      <formula>IF(AND($A79=$A81,#REF!=#REF!,$B79=$B81),0,1)</formula>
    </cfRule>
  </conditionalFormatting>
  <printOptions horizontalCentered="1"/>
  <pageMargins left="0.19685039370078741" right="0.19685039370078741" top="0" bottom="0.27559055118110237" header="0.19685039370078741" footer="0.11811023622047245"/>
  <pageSetup paperSize="8" scale="65" orientation="landscape" r:id="rId1"/>
  <headerFooter>
    <oddFooter>&amp;L&amp;8Stadler Bussnang AG&amp;C&amp;8Nur für internen Gebrauch&amp;R&amp;8&amp;D, &amp;P/&amp;N</oddFooter>
  </headerFooter>
  <colBreaks count="4" manualBreakCount="4">
    <brk id="174" min="5" max="159" man="1"/>
    <brk id="258" min="5" max="159" man="1"/>
    <brk id="342" min="5" max="159" man="1"/>
    <brk id="374" max="1048575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H1"/>
  <sheetViews>
    <sheetView workbookViewId="0"/>
  </sheetViews>
  <sheetFormatPr defaultColWidth="11.5546875" defaultRowHeight="13.2" x14ac:dyDescent="0.25"/>
  <cols>
    <col min="2" max="2" width="21.6640625" customWidth="1"/>
    <col min="4" max="6" width="19.5546875" customWidth="1"/>
  </cols>
  <sheetData>
    <row r="1" spans="1:8" x14ac:dyDescent="0.25">
      <c r="A1" s="37" t="s">
        <v>0</v>
      </c>
      <c r="B1" s="38"/>
      <c r="C1" s="38" t="s">
        <v>1</v>
      </c>
      <c r="D1" s="38" t="s">
        <v>12</v>
      </c>
      <c r="E1" s="38" t="s">
        <v>13</v>
      </c>
      <c r="F1" s="38" t="s">
        <v>14</v>
      </c>
      <c r="G1" s="38" t="s">
        <v>15</v>
      </c>
      <c r="H1" s="39" t="s">
        <v>16</v>
      </c>
    </row>
  </sheetData>
  <sortState ref="A1:H1">
    <sortCondition ref="A2"/>
  </sortState>
  <pageMargins left="0.7" right="0.7" top="0.78740157499999996" bottom="0.78740157499999996" header="0.3" footer="0.3"/>
  <pageSetup paperSize="9" orientation="portrait" r:id="rId1"/>
  <headerFooter>
    <oddFooter>&amp;L&amp;9Stadler Bussnang AG&amp;C&amp;9Nur für internen Gebrauch&amp;R&amp;9 28.11.2017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Prod_Planung</vt:lpstr>
      <vt:lpstr>Aenderungen</vt:lpstr>
      <vt:lpstr>Prod_Planung!Print_Area</vt:lpstr>
      <vt:lpstr>Prod_Planung!Print_Titles</vt:lpstr>
    </vt:vector>
  </TitlesOfParts>
  <Company>Stadler Rail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Aeschbacher Dustin STAG</dc:creator>
  <cp:lastModifiedBy>Niedermann Dominik STAG</cp:lastModifiedBy>
  <cp:lastPrinted>2018-01-04T13:17:13Z</cp:lastPrinted>
  <dcterms:created xsi:type="dcterms:W3CDTF">2017-11-28T13:43:15Z</dcterms:created>
  <dcterms:modified xsi:type="dcterms:W3CDTF">2018-05-09T13:56:50Z</dcterms:modified>
</cp:coreProperties>
</file>